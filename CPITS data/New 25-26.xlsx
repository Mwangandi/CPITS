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<sst xmlns="http://schemas.openxmlformats.org/spreadsheetml/2006/main" count="80" uniqueCount="80">
  <si>
    <t xml:space="preserve">Project Number</t>
  </si>
  <si>
    <t xml:space="preserve">Project Title</t>
  </si>
  <si>
    <t xml:space="preserve">Project Status</t>
  </si>
  <si>
    <t xml:space="preserve">Financial Year</t>
  </si>
  <si>
    <t xml:space="preserve">Contractor Name</t>
  </si>
  <si>
    <t xml:space="preserve">Estimated Cost</t>
  </si>
  <si>
    <t>Department</t>
  </si>
  <si>
    <t xml:space="preserve">Implemented By</t>
  </si>
  <si>
    <t>Partner</t>
  </si>
  <si>
    <t xml:space="preserve">Expected Start Date</t>
  </si>
  <si>
    <t xml:space="preserve">Expected End Date</t>
  </si>
  <si>
    <t xml:space="preserve">Approval/Contract Number</t>
  </si>
  <si>
    <t xml:space="preserve">Contract Period (Days)</t>
  </si>
  <si>
    <t xml:space="preserve">Technical Rating</t>
  </si>
  <si>
    <t xml:space="preserve">Completion Level</t>
  </si>
  <si>
    <t xml:space="preserve">Amount Paid</t>
  </si>
  <si>
    <t xml:space="preserve">Percentage of Funding (Source of Funds)</t>
  </si>
  <si>
    <t xml:space="preserve">Total Percentage</t>
  </si>
  <si>
    <t xml:space="preserve">Project Scope</t>
  </si>
  <si>
    <t xml:space="preserve">Administrative Level</t>
  </si>
  <si>
    <t xml:space="preserve">Project Location</t>
  </si>
  <si>
    <t xml:space="preserve">Location Names</t>
  </si>
  <si>
    <t>Latitude</t>
  </si>
  <si>
    <t>Longitude</t>
  </si>
  <si>
    <t xml:space="preserve">ID (Source of Funds)</t>
  </si>
  <si>
    <t xml:space="preserve">Funded By (Source of Funds)</t>
  </si>
  <si>
    <t xml:space="preserve">Partner (Source of Funds)</t>
  </si>
  <si>
    <t xml:space="preserve">ID (Administrative Areas)</t>
  </si>
  <si>
    <t xml:space="preserve">Admin (Administrative Areas)</t>
  </si>
  <si>
    <t xml:space="preserve">Admin Level (Administrative Areas)</t>
  </si>
  <si>
    <t xml:space="preserve">MWANGEKA NGONDA KITUKUNYI ROAD</t>
  </si>
  <si>
    <t>Complete</t>
  </si>
  <si>
    <t>2025-2026</t>
  </si>
  <si>
    <t>nil</t>
  </si>
  <si>
    <t xml:space="preserve">Public Works, Housing, Roads, Transport, Energy and Infrastructure</t>
  </si>
  <si>
    <t xml:space="preserve">County Government</t>
  </si>
  <si>
    <t>Wundanyi/Mbale</t>
  </si>
  <si>
    <t>-3.40755S</t>
  </si>
  <si>
    <t>38.35074E</t>
  </si>
  <si>
    <t xml:space="preserve">Admin 3</t>
  </si>
  <si>
    <t xml:space="preserve">KIWALWA MTISONI MOYAMOYA ROAD</t>
  </si>
  <si>
    <t>2019-2020</t>
  </si>
  <si>
    <t xml:space="preserve">UPGRAING OF THE ROAD</t>
  </si>
  <si>
    <t>MBOGHONI</t>
  </si>
  <si>
    <t xml:space="preserve">ELDORO ROADS</t>
  </si>
  <si>
    <t>Ongoing</t>
  </si>
  <si>
    <t xml:space="preserve">SURVEY OF THE ELDORO ROADS</t>
  </si>
  <si>
    <t xml:space="preserve">landi mdindinyi road</t>
  </si>
  <si>
    <t>Mwatate</t>
  </si>
  <si>
    <t>--3.428739</t>
  </si>
  <si>
    <t xml:space="preserve">Maintenance of Mwamranga - Mbembe - Wongonyi Road</t>
  </si>
  <si>
    <t>2016-2017</t>
  </si>
  <si>
    <t xml:space="preserve">Maintenance of feeder road</t>
  </si>
  <si>
    <t>Ngolia</t>
  </si>
  <si>
    <t>2022-2023</t>
  </si>
  <si>
    <t xml:space="preserve">Maintenance of Mwambingu Road - Ndome</t>
  </si>
  <si>
    <t xml:space="preserve">Ore ECDE 1 classroom + 3 Door toilet + 1,000l Water tank</t>
  </si>
  <si>
    <t xml:space="preserve">Completion of  classroom &amp; 2 door toilet</t>
  </si>
  <si>
    <t xml:space="preserve">Maintenance of Antony Mwakesi Road</t>
  </si>
  <si>
    <t xml:space="preserve">Renovation of manoa Dispensary</t>
  </si>
  <si>
    <t xml:space="preserve">Health Services</t>
  </si>
  <si>
    <t>Chawia</t>
  </si>
  <si>
    <t>--3.594870</t>
  </si>
  <si>
    <t xml:space="preserve">EQUIPING OF SAGALLA ECDEs</t>
  </si>
  <si>
    <t xml:space="preserve">ACQUSITION OF LEARNING MATERIALS</t>
  </si>
  <si>
    <t>Sagala</t>
  </si>
  <si>
    <t xml:space="preserve">MAGHANGA ECDE</t>
  </si>
  <si>
    <t xml:space="preserve">CONSTRUCTION OF 1 CLASS</t>
  </si>
  <si>
    <t>KASIGHAU</t>
  </si>
  <si>
    <t>Kasigau</t>
  </si>
  <si>
    <t xml:space="preserve">KIKONGORINYI ECDE</t>
  </si>
  <si>
    <t xml:space="preserve">MAKWASINYI DISPENSARY TOILET</t>
  </si>
  <si>
    <t xml:space="preserve">CONSTRUCTION OF TOILET</t>
  </si>
  <si>
    <t xml:space="preserve">BUGUTA MATERNITY</t>
  </si>
  <si>
    <t xml:space="preserve">CONSTRUCTION MATERNITY BLOCK</t>
  </si>
  <si>
    <t xml:space="preserve">ZUNGULUKANI BODA BODA SHED</t>
  </si>
  <si>
    <t xml:space="preserve">Youth, Sports, Gender and Social Services</t>
  </si>
  <si>
    <t xml:space="preserve">CONSTRUCTION BODA BODA SHED</t>
  </si>
  <si>
    <t xml:space="preserve">MAGHANGA ECDE ROAD</t>
  </si>
  <si>
    <t xml:space="preserve">REHABILITATION OF THE ROAD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</si>
</sst>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* #,##0.00_);_(* \(#,##0.00\);_(* \-#??_)"/>
  </numFmts>
  <fonts count="11">
    <font>
      <sz val="11.000000"/>
      <color theme="1"/>
      <name val="Calibri"/>
      <scheme val="minor"/>
    </font>
    <font>
      <sz val="10.000000"/>
      <name val="Roboto"/>
    </font>
    <font>
      <sz val="11.000000"/>
      <name val="Calibri"/>
    </font>
    <font>
      <sz val="10.000000"/>
      <name val="Calibri"/>
    </font>
    <font>
      <sz val="11.000000"/>
      <name val="Roboto"/>
    </font>
    <font>
      <b/>
      <sz val="11.000000"/>
      <name val="Times New Roman"/>
    </font>
    <font>
      <sz val="12.000000"/>
      <name val="Arial"/>
    </font>
    <font>
      <sz val="11.000000"/>
      <name val="Arial"/>
    </font>
    <font>
      <sz val="12.000000"/>
      <name val="Calibri"/>
    </font>
    <font>
      <sz val="11.000000"/>
      <color indexed="2"/>
      <name val="Arial"/>
    </font>
    <font>
      <sz val="11.000000"/>
      <color theme="1"/>
      <name val="Arial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theme="0"/>
        <bgColor indexed="26"/>
      </patternFill>
    </fill>
    <fill>
      <patternFill patternType="solid">
        <fgColor indexed="5"/>
        <bgColor indexed="5"/>
      </patternFill>
    </fill>
    <fill>
      <patternFill patternType="solid">
        <fgColor indexed="65"/>
      </patternFill>
    </fill>
    <fill>
      <patternFill patternType="solid">
        <fgColor theme="0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indexed="64"/>
      </left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43" applyNumberFormat="1" applyFont="0" applyFill="0" applyBorder="0"/>
  </cellStyleXfs>
  <cellXfs count="42">
    <xf fontId="0" fillId="0" borderId="0" numFmtId="0" xfId="0"/>
    <xf fontId="0" fillId="0" borderId="0" numFmtId="0" xfId="0" applyAlignment="1">
      <alignment wrapText="1"/>
    </xf>
    <xf fontId="1" fillId="3" borderId="0" numFmtId="0" xfId="0" applyFont="1" applyFill="1" applyAlignment="1">
      <alignment horizontal="center" vertical="center"/>
      <protection hidden="0" locked="1"/>
    </xf>
    <xf fontId="2" fillId="3" borderId="0" numFmtId="0" xfId="0" applyFont="1" applyFill="1" applyAlignment="1">
      <alignment horizontal="center" vertical="center" wrapText="1"/>
      <protection hidden="0" locked="1"/>
    </xf>
    <xf fontId="2" fillId="3" borderId="0" numFmtId="0" xfId="0" applyFont="1" applyFill="1" applyAlignment="1">
      <alignment horizontal="center" vertical="center"/>
      <protection hidden="0" locked="1"/>
    </xf>
    <xf fontId="2" fillId="3" borderId="0" numFmtId="164" xfId="0" applyNumberFormat="1" applyFont="1" applyFill="1" applyAlignment="1">
      <alignment horizontal="center" vertical="center" wrapText="1"/>
      <protection hidden="0" locked="1"/>
    </xf>
    <xf fontId="3" fillId="3" borderId="0" numFmtId="0" xfId="0" applyFont="1" applyFill="1" applyAlignment="1">
      <alignment horizontal="center" vertical="center" wrapText="1"/>
      <protection hidden="0" locked="1"/>
    </xf>
    <xf fontId="0" fillId="4" borderId="0" numFmtId="0" xfId="0" applyFill="1"/>
    <xf fontId="4" fillId="4" borderId="0" numFmtId="0" xfId="0" applyFont="1" applyFill="1" applyAlignment="1">
      <alignment vertical="top"/>
      <protection hidden="0" locked="1"/>
    </xf>
    <xf fontId="2" fillId="0" borderId="0" numFmtId="0" xfId="0" applyFont="1"/>
    <xf fontId="0" fillId="4" borderId="0" numFmtId="0" xfId="0" applyFill="1"/>
    <xf fontId="2" fillId="4" borderId="0" numFmtId="0" xfId="0" applyFont="1" applyFill="1" applyAlignment="1">
      <alignment horizontal="center"/>
      <protection hidden="0" locked="1"/>
    </xf>
    <xf fontId="0" fillId="4" borderId="0" numFmtId="0" xfId="0" applyFill="1" applyAlignment="1">
      <alignment wrapText="1"/>
    </xf>
    <xf fontId="5" fillId="4" borderId="0" numFmtId="0" xfId="0" applyFont="1" applyFill="1" applyAlignment="1">
      <alignment horizontal="left" vertical="top" wrapText="1"/>
      <protection hidden="0" locked="1"/>
    </xf>
    <xf fontId="2" fillId="4" borderId="0" numFmtId="0" xfId="0" applyFont="1" applyFill="1" applyAlignment="1">
      <alignment horizontal="center" vertical="top" wrapText="1"/>
      <protection hidden="0" locked="1"/>
    </xf>
    <xf fontId="1" fillId="4" borderId="0" numFmtId="0" xfId="0" applyFont="1" applyFill="1" applyAlignment="1">
      <alignment vertical="top"/>
      <protection hidden="0" locked="1"/>
    </xf>
    <xf fontId="2" fillId="0" borderId="1" numFmtId="0" xfId="0" applyFont="1" applyBorder="1" applyAlignment="1">
      <alignment wrapText="1"/>
    </xf>
    <xf fontId="6" fillId="0" borderId="1" numFmtId="0" xfId="0" applyFont="1" applyBorder="1" applyAlignment="1">
      <alignment horizontal="left" wrapText="1"/>
    </xf>
    <xf fontId="7" fillId="0" borderId="0" numFmtId="0" xfId="0" applyFont="1" applyAlignment="1">
      <alignment horizontal="left" wrapText="1"/>
    </xf>
    <xf fontId="2" fillId="3" borderId="0" numFmtId="0" xfId="0" applyFont="1" applyFill="1" applyAlignment="1">
      <alignment horizontal="center" vertical="top" wrapText="1"/>
      <protection hidden="0" locked="1"/>
    </xf>
    <xf fontId="2" fillId="3" borderId="0" numFmtId="0" xfId="0" applyFont="1" applyFill="1" applyAlignment="1">
      <alignment horizontal="center"/>
      <protection hidden="0" locked="1"/>
    </xf>
    <xf fontId="1" fillId="3" borderId="0" numFmtId="0" xfId="0" applyFont="1" applyFill="1" applyAlignment="1">
      <alignment vertical="top"/>
      <protection hidden="0" locked="1"/>
    </xf>
    <xf fontId="2" fillId="0" borderId="0" numFmtId="0" xfId="0" applyFont="1" applyAlignment="1">
      <alignment wrapText="1"/>
    </xf>
    <xf fontId="8" fillId="3" borderId="0" numFmtId="0" xfId="0" applyFont="1" applyFill="1" applyAlignment="1">
      <alignment horizontal="center" vertical="top" wrapText="1"/>
      <protection hidden="0" locked="1"/>
    </xf>
    <xf fontId="2" fillId="3" borderId="0" numFmtId="0" xfId="0" applyFont="1" applyFill="1" applyAlignment="1">
      <alignment horizontal="center" vertical="top" wrapText="1"/>
      <protection hidden="0" locked="1"/>
    </xf>
    <xf fontId="2" fillId="3" borderId="0" numFmtId="0" xfId="0" applyFont="1" applyFill="1" applyAlignment="1">
      <alignment horizontal="center"/>
      <protection hidden="0" locked="1"/>
    </xf>
    <xf fontId="1" fillId="3" borderId="0" numFmtId="0" xfId="0" applyFont="1" applyFill="1" applyAlignment="1">
      <alignment vertical="top"/>
      <protection hidden="0" locked="1"/>
    </xf>
    <xf fontId="8" fillId="3" borderId="0" numFmtId="0" xfId="0" applyFont="1" applyFill="1" applyAlignment="1">
      <alignment horizontal="center" vertical="top" wrapText="1"/>
      <protection hidden="0" locked="1"/>
    </xf>
    <xf fontId="1" fillId="4" borderId="0" numFmtId="0" xfId="0" applyFont="1" applyFill="1" applyAlignment="1">
      <alignment vertical="top"/>
      <protection hidden="0" locked="1"/>
    </xf>
    <xf fontId="7" fillId="0" borderId="0" numFmtId="0" xfId="0" applyFont="1"/>
    <xf fontId="7" fillId="5" borderId="1" numFmtId="0" xfId="0" applyFont="1" applyFill="1" applyBorder="1" applyAlignment="1">
      <alignment vertical="top" wrapText="1"/>
    </xf>
    <xf fontId="7" fillId="6" borderId="1" numFmtId="0" xfId="0" applyFont="1" applyFill="1" applyBorder="1" applyAlignment="1">
      <alignment vertical="top" wrapText="1"/>
    </xf>
    <xf fontId="0" fillId="0" borderId="0" numFmtId="0" xfId="0">
      <protection hidden="0" locked="1"/>
    </xf>
    <xf fontId="0" fillId="0" borderId="0" numFmtId="0" xfId="0">
      <protection hidden="0" locked="1"/>
    </xf>
    <xf fontId="7" fillId="0" borderId="0" numFmtId="14" xfId="0" applyNumberFormat="1" applyFont="1"/>
    <xf fontId="9" fillId="0" borderId="0" numFmtId="0" xfId="0" applyFont="1"/>
    <xf fontId="10" fillId="0" borderId="0" numFmtId="0" xfId="0" applyFont="1"/>
    <xf fontId="7" fillId="0" borderId="0" numFmtId="0" xfId="0" applyFont="1" applyAlignment="1">
      <alignment wrapText="1"/>
    </xf>
    <xf fontId="7" fillId="0" borderId="0" numFmtId="9" xfId="0" applyNumberFormat="1" applyFont="1"/>
    <xf fontId="2" fillId="0" borderId="2" numFmtId="0" xfId="0" applyFont="1" applyBorder="1"/>
    <xf fontId="2" fillId="0" borderId="0" numFmtId="0" xfId="0" applyFont="1" applyAlignment="1">
      <alignment vertical="top"/>
    </xf>
    <xf fontId="0" fillId="0" borderId="0" numFmtId="0" xfId="0" applyAlignment="1">
      <alignment wrapText="1"/>
      <protection hidden="0" locked="1"/>
    </xf>
  </cellXfs>
  <cellStyles count="2">
    <cellStyle name="Normal" xfId="0" builtinId="0"/>
    <cellStyle name="Comm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Y1" zoomScale="100" workbookViewId="0">
      <selection activeCell="A1" activeCellId="0" sqref="A1"/>
    </sheetView>
  </sheetViews>
  <sheetFormatPr defaultRowHeight="14.25"/>
  <cols>
    <col customWidth="1" min="1" max="1" width="30.57421875"/>
    <col customWidth="1" min="2" max="2" width="52.8515625"/>
    <col customWidth="1" min="3" max="3" width="31.8515625"/>
    <col customWidth="1" min="4" max="4" width="33.28125"/>
    <col customWidth="1" min="5" max="5" width="28.421875"/>
    <col customWidth="1" min="6" max="6" width="24.421875"/>
    <col customWidth="1" min="7" max="7" style="1" width="40.57421875"/>
    <col customWidth="1" min="8" max="8" width="24.00390625"/>
    <col customWidth="1" min="9" max="9" width="25.140625"/>
    <col customWidth="1" min="10" max="10" width="26.140625"/>
    <col customWidth="1" min="11" max="11" width="25.7109375"/>
    <col customWidth="1" min="12" max="12" width="25.8515625"/>
    <col customWidth="1" min="13" max="13" width="21.7109375"/>
    <col customWidth="1" min="14" max="14" width="29.00390625"/>
    <col customWidth="1" min="15" max="15" width="23.421875"/>
    <col customWidth="1" min="16" max="17" width="30.140625"/>
    <col customWidth="1" min="18" max="18" width="32.28125"/>
    <col customWidth="1" min="19" max="19" width="36.8515625"/>
    <col customWidth="1" min="20" max="20" width="28.8515625"/>
    <col customWidth="1" min="21" max="21" width="32.8515625"/>
    <col customWidth="1" min="22" max="22" width="27.00390625"/>
    <col customWidth="1" min="23" max="23" width="23.57421875"/>
    <col customWidth="1" min="24" max="25" width="28.28125"/>
    <col customWidth="1" min="26" max="26" width="27.8515625"/>
    <col customWidth="1" min="27" max="27" width="24.7109375"/>
    <col customWidth="1" min="28" max="28" width="22.7109375"/>
    <col customWidth="1" min="29" max="29" width="32.7109375"/>
    <col customWidth="1" min="30" max="30" width="25.00390625"/>
    <col customWidth="1" min="31" max="31" width="24.57421875"/>
  </cols>
  <sheetData>
    <row r="1" ht="28.5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6" t="s">
        <v>11</v>
      </c>
      <c r="M1" s="3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/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="7" customFormat="1" ht="42.75">
      <c r="A2" s="8" t="str">
        <f>"006/137/"&amp;TEXT(ROW()-1,"00")&amp;"/"&amp;MID(TEXT(D2,"0000-0000"),3,2)&amp;"-"&amp;MID(TEXT(D2,"0000-0000"),8,27)</f>
        <v>006/137/01/25-26</v>
      </c>
      <c r="B2" s="9" t="s">
        <v>30</v>
      </c>
      <c r="C2" s="10" t="s">
        <v>31</v>
      </c>
      <c r="D2" s="9" t="s">
        <v>32</v>
      </c>
      <c r="E2" s="11" t="s">
        <v>33</v>
      </c>
      <c r="F2" s="11">
        <v>0</v>
      </c>
      <c r="G2" s="12" t="s">
        <v>34</v>
      </c>
      <c r="H2" s="13" t="s">
        <v>35</v>
      </c>
      <c r="I2" s="14"/>
      <c r="J2" s="14"/>
      <c r="K2" s="14"/>
      <c r="L2" s="11"/>
      <c r="M2" s="11"/>
      <c r="N2" s="15"/>
      <c r="O2" s="15"/>
      <c r="P2" s="11"/>
      <c r="Q2" s="11">
        <v>100</v>
      </c>
      <c r="R2" s="11">
        <v>100</v>
      </c>
      <c r="S2" s="9"/>
      <c r="T2" s="14"/>
      <c r="U2" s="14"/>
      <c r="V2" s="16" t="s">
        <v>36</v>
      </c>
      <c r="W2" s="9" t="s">
        <v>37</v>
      </c>
      <c r="X2" s="17" t="s">
        <v>38</v>
      </c>
      <c r="Y2" s="18"/>
      <c r="Z2" s="14"/>
      <c r="AA2" s="13" t="s">
        <v>35</v>
      </c>
      <c r="AB2" s="14"/>
      <c r="AC2" s="14"/>
      <c r="AD2" s="16" t="s">
        <v>36</v>
      </c>
      <c r="AE2" s="15" t="s">
        <v>39</v>
      </c>
      <c r="AF2" s="7"/>
      <c r="AG2" s="7"/>
      <c r="AH2" s="7"/>
      <c r="AI2" s="7"/>
      <c r="AJ2" s="7"/>
      <c r="AK2" s="7"/>
      <c r="AL2" s="7"/>
      <c r="AM2" s="7"/>
      <c r="AN2" s="7"/>
    </row>
    <row r="3" ht="28.5">
      <c r="A3" s="8" t="str">
        <f>"006/137/"&amp;TEXT(ROW()-1,"00")&amp;"/"&amp;MID(TEXT(D3,"0000-0000"),3,2)&amp;"-"&amp;MID(TEXT(D3,"0000-0000"),8,27)</f>
        <v>006/137/02/19-20</v>
      </c>
      <c r="B3" s="9" t="s">
        <v>40</v>
      </c>
      <c r="C3" s="7" t="s">
        <v>31</v>
      </c>
      <c r="D3" s="9" t="s">
        <v>41</v>
      </c>
      <c r="E3" s="11" t="s">
        <v>33</v>
      </c>
      <c r="F3" s="11">
        <v>0</v>
      </c>
      <c r="G3" s="1" t="s">
        <v>34</v>
      </c>
      <c r="H3" s="13" t="s">
        <v>35</v>
      </c>
      <c r="I3" s="19"/>
      <c r="J3" s="19"/>
      <c r="K3" s="19"/>
      <c r="L3" s="19"/>
      <c r="M3" s="20"/>
      <c r="N3" s="21"/>
      <c r="O3" s="21"/>
      <c r="P3" s="19"/>
      <c r="Q3" s="11">
        <v>100</v>
      </c>
      <c r="R3" s="11">
        <v>100</v>
      </c>
      <c r="S3" s="9" t="s">
        <v>42</v>
      </c>
      <c r="T3" s="19"/>
      <c r="U3" s="19"/>
      <c r="V3" s="22" t="s">
        <v>43</v>
      </c>
      <c r="W3" s="9">
        <v>-3.4338000000000002</v>
      </c>
      <c r="X3" s="23">
        <v>37.684899999999999</v>
      </c>
      <c r="Y3" s="18"/>
      <c r="Z3" s="19"/>
      <c r="AA3" s="13" t="s">
        <v>35</v>
      </c>
      <c r="AB3" s="19"/>
      <c r="AC3" s="19"/>
      <c r="AD3" s="22" t="s">
        <v>43</v>
      </c>
      <c r="AE3" s="15" t="s">
        <v>39</v>
      </c>
    </row>
    <row r="4" ht="28.5">
      <c r="A4" s="8" t="str">
        <f>"006/137/"&amp;TEXT(ROW()-1,"00")&amp;"/"&amp;MID(TEXT(D4,"0000-0000"),3,2)&amp;"-"&amp;MID(TEXT(D4,"0000-0000"),8,27)</f>
        <v>006/137/03/25-26</v>
      </c>
      <c r="B4" s="9" t="s">
        <v>40</v>
      </c>
      <c r="C4" s="7" t="s">
        <v>31</v>
      </c>
      <c r="D4" s="9" t="s">
        <v>32</v>
      </c>
      <c r="E4" s="11" t="s">
        <v>33</v>
      </c>
      <c r="F4" s="11">
        <v>0</v>
      </c>
      <c r="G4" s="1" t="s">
        <v>34</v>
      </c>
      <c r="H4" s="13" t="s">
        <v>35</v>
      </c>
      <c r="I4" s="24"/>
      <c r="J4" s="24"/>
      <c r="K4" s="24"/>
      <c r="L4" s="24"/>
      <c r="M4" s="25"/>
      <c r="N4" s="26"/>
      <c r="O4" s="26"/>
      <c r="P4" s="24"/>
      <c r="Q4" s="11">
        <v>100</v>
      </c>
      <c r="R4" s="11">
        <v>100</v>
      </c>
      <c r="S4" s="9" t="s">
        <v>42</v>
      </c>
      <c r="T4" s="24"/>
      <c r="U4" s="24"/>
      <c r="V4" s="22" t="s">
        <v>43</v>
      </c>
      <c r="W4" s="9">
        <v>-3.4338000000000002</v>
      </c>
      <c r="X4" s="27">
        <v>37.684899999999999</v>
      </c>
      <c r="Y4" s="18"/>
      <c r="Z4" s="24"/>
      <c r="AA4" s="13" t="s">
        <v>35</v>
      </c>
      <c r="AB4" s="24"/>
      <c r="AC4" s="24"/>
      <c r="AD4" s="22" t="s">
        <v>43</v>
      </c>
      <c r="AE4" s="28" t="s">
        <v>39</v>
      </c>
    </row>
    <row r="5" ht="28.5">
      <c r="A5" s="8" t="str">
        <f>"006/137/"&amp;TEXT(ROW()-1,"00")&amp;"/"&amp;MID(TEXT(D5,"0000-0000"),3,2)&amp;"-"&amp;MID(TEXT(D5,"0000-0000"),8,27)</f>
        <v>006/137/04/25-26</v>
      </c>
      <c r="B5" s="9" t="s">
        <v>44</v>
      </c>
      <c r="C5" s="29" t="s">
        <v>45</v>
      </c>
      <c r="D5" s="9" t="s">
        <v>32</v>
      </c>
      <c r="E5" s="11" t="s">
        <v>33</v>
      </c>
      <c r="F5" s="11">
        <v>0</v>
      </c>
      <c r="G5" s="1" t="s">
        <v>34</v>
      </c>
      <c r="H5" s="13" t="s">
        <v>35</v>
      </c>
      <c r="Q5" s="11">
        <v>100</v>
      </c>
      <c r="R5" s="11">
        <v>100</v>
      </c>
      <c r="S5" s="9" t="s">
        <v>46</v>
      </c>
      <c r="V5" s="9" t="s">
        <v>43</v>
      </c>
      <c r="W5" s="9">
        <v>-3.4742999999999999</v>
      </c>
      <c r="X5">
        <v>37.682400000000001</v>
      </c>
      <c r="Y5" s="18"/>
      <c r="AA5" s="13" t="s">
        <v>35</v>
      </c>
      <c r="AD5" s="9" t="s">
        <v>43</v>
      </c>
      <c r="AE5" s="15" t="s">
        <v>39</v>
      </c>
    </row>
    <row r="6" ht="28.5">
      <c r="A6" s="8" t="str">
        <f>"006/137/"&amp;TEXT(ROW()-1,"00")&amp;"/"&amp;MID(TEXT(D6,"0000-0000"),3,2)&amp;"-"&amp;MID(TEXT(D6,"0000-0000"),8,27)</f>
        <v>006/137/05/25-26</v>
      </c>
      <c r="B6" s="22" t="s">
        <v>47</v>
      </c>
      <c r="C6" s="7" t="s">
        <v>31</v>
      </c>
      <c r="D6" s="9" t="s">
        <v>32</v>
      </c>
      <c r="E6" s="11" t="s">
        <v>33</v>
      </c>
      <c r="F6" s="11">
        <v>0</v>
      </c>
      <c r="G6" s="1" t="s">
        <v>34</v>
      </c>
      <c r="H6" s="13" t="s">
        <v>35</v>
      </c>
      <c r="L6" s="30"/>
      <c r="M6" s="30"/>
      <c r="N6" s="30"/>
      <c r="O6" s="30"/>
      <c r="P6" s="31"/>
      <c r="Q6" s="11">
        <v>100</v>
      </c>
      <c r="R6" s="11">
        <v>100</v>
      </c>
      <c r="S6" s="9"/>
      <c r="V6" s="9" t="s">
        <v>48</v>
      </c>
      <c r="W6" s="9" t="s">
        <v>49</v>
      </c>
      <c r="X6">
        <v>38.446753999999999</v>
      </c>
      <c r="Y6" s="18"/>
      <c r="AA6" s="13" t="s">
        <v>35</v>
      </c>
      <c r="AD6" s="9" t="s">
        <v>48</v>
      </c>
      <c r="AE6" s="15" t="s">
        <v>39</v>
      </c>
    </row>
    <row r="7" ht="28.5">
      <c r="A7" s="8" t="str">
        <f>"006/137/"&amp;TEXT(ROW()-1,"00")&amp;"/"&amp;MID(TEXT(D7,"0000-0000"),3,2)&amp;"-"&amp;MID(TEXT(D7,"0000-0000"),8,27)</f>
        <v>006/137/06/16-17</v>
      </c>
      <c r="B7" s="9" t="s">
        <v>50</v>
      </c>
      <c r="C7" s="29" t="s">
        <v>45</v>
      </c>
      <c r="D7" s="9" t="s">
        <v>51</v>
      </c>
      <c r="E7" s="11" t="s">
        <v>33</v>
      </c>
      <c r="F7" s="11">
        <v>0</v>
      </c>
      <c r="G7" s="1" t="s">
        <v>34</v>
      </c>
      <c r="H7" s="13" t="s">
        <v>35</v>
      </c>
      <c r="Q7" s="11">
        <v>100</v>
      </c>
      <c r="R7" s="11">
        <v>100</v>
      </c>
      <c r="S7" s="9" t="s">
        <v>52</v>
      </c>
      <c r="V7" s="9" t="s">
        <v>53</v>
      </c>
      <c r="W7" s="9">
        <v>-3.3122859999999998</v>
      </c>
      <c r="X7">
        <v>38.433110999999997</v>
      </c>
      <c r="Y7" s="18"/>
      <c r="AA7" s="13" t="s">
        <v>35</v>
      </c>
      <c r="AD7" s="9" t="s">
        <v>53</v>
      </c>
      <c r="AE7" s="15" t="s">
        <v>39</v>
      </c>
    </row>
    <row r="8" ht="28.5">
      <c r="A8" s="8" t="str">
        <f>"006/137/"&amp;TEXT(ROW()-1,"00")&amp;"/"&amp;MID(TEXT(D8,"0000-0000"),3,2)&amp;"-"&amp;MID(TEXT(D8,"0000-0000"),8,27)</f>
        <v>006/137/07/22-23</v>
      </c>
      <c r="B8" s="9" t="s">
        <v>50</v>
      </c>
      <c r="C8" s="29" t="s">
        <v>45</v>
      </c>
      <c r="D8" s="9" t="s">
        <v>54</v>
      </c>
      <c r="E8" s="11" t="s">
        <v>33</v>
      </c>
      <c r="F8" s="11">
        <v>0</v>
      </c>
      <c r="G8" s="1" t="s">
        <v>34</v>
      </c>
      <c r="H8" s="13" t="s">
        <v>35</v>
      </c>
      <c r="I8" s="32"/>
      <c r="J8" s="32"/>
      <c r="K8" s="32"/>
      <c r="L8" s="32"/>
      <c r="M8" s="32"/>
      <c r="N8" s="32"/>
      <c r="O8" s="32"/>
      <c r="P8" s="32"/>
      <c r="Q8" s="11">
        <v>100</v>
      </c>
      <c r="R8" s="11">
        <v>100</v>
      </c>
      <c r="S8" s="9" t="s">
        <v>52</v>
      </c>
      <c r="T8" s="32"/>
      <c r="U8" s="32"/>
      <c r="V8" s="9" t="s">
        <v>53</v>
      </c>
      <c r="W8" s="9">
        <v>-3.3122859999999998</v>
      </c>
      <c r="X8" s="32">
        <v>38.433110999999997</v>
      </c>
      <c r="Y8" s="18"/>
      <c r="Z8" s="32"/>
      <c r="AA8" s="13" t="s">
        <v>35</v>
      </c>
      <c r="AB8" s="32"/>
      <c r="AC8" s="32"/>
      <c r="AD8" s="9" t="s">
        <v>53</v>
      </c>
      <c r="AE8" s="15" t="s">
        <v>39</v>
      </c>
    </row>
    <row r="9" ht="28.5">
      <c r="A9" s="8" t="str">
        <f>"006/137/"&amp;TEXT(ROW()-1,"00")&amp;"/"&amp;MID(TEXT(D9,"0000-0000"),3,2)&amp;"-"&amp;MID(TEXT(D9,"0000-0000"),8,27)</f>
        <v>006/137/08/25-26</v>
      </c>
      <c r="B9" s="9" t="s">
        <v>50</v>
      </c>
      <c r="C9" s="29" t="s">
        <v>45</v>
      </c>
      <c r="D9" s="9" t="s">
        <v>32</v>
      </c>
      <c r="E9" s="11" t="s">
        <v>33</v>
      </c>
      <c r="F9" s="11">
        <v>0</v>
      </c>
      <c r="G9" s="1" t="s">
        <v>34</v>
      </c>
      <c r="H9" s="13" t="s">
        <v>35</v>
      </c>
      <c r="I9" s="32"/>
      <c r="J9" s="33"/>
      <c r="K9" s="32"/>
      <c r="L9" s="33"/>
      <c r="M9" s="32"/>
      <c r="N9" s="32"/>
      <c r="O9" s="32"/>
      <c r="P9" s="32"/>
      <c r="Q9" s="11">
        <v>100</v>
      </c>
      <c r="R9" s="11">
        <v>100</v>
      </c>
      <c r="S9" s="9" t="s">
        <v>52</v>
      </c>
      <c r="T9" s="33"/>
      <c r="U9" s="33"/>
      <c r="V9" s="9" t="s">
        <v>53</v>
      </c>
      <c r="W9" s="9">
        <v>-3.3122859999999998</v>
      </c>
      <c r="X9" s="33">
        <v>38.433110999999997</v>
      </c>
      <c r="Y9" s="18"/>
      <c r="Z9" s="33"/>
      <c r="AA9" s="13" t="s">
        <v>35</v>
      </c>
      <c r="AB9" s="33"/>
      <c r="AC9" s="33"/>
      <c r="AD9" s="9" t="s">
        <v>53</v>
      </c>
      <c r="AE9" s="28" t="s">
        <v>39</v>
      </c>
    </row>
    <row r="10" ht="28.5">
      <c r="A10" s="8" t="str">
        <f>"006/137/"&amp;TEXT(ROW()-1,"00")&amp;"/"&amp;MID(TEXT(D10,"0000-0000"),3,2)&amp;"-"&amp;MID(TEXT(D10,"0000-0000"),8,27)</f>
        <v>006/137/09/25-26</v>
      </c>
      <c r="B10" s="9" t="s">
        <v>55</v>
      </c>
      <c r="C10" s="29" t="s">
        <v>45</v>
      </c>
      <c r="D10" s="9" t="s">
        <v>32</v>
      </c>
      <c r="E10" s="11" t="s">
        <v>33</v>
      </c>
      <c r="F10" s="11">
        <v>0</v>
      </c>
      <c r="G10" s="1" t="s">
        <v>34</v>
      </c>
      <c r="H10" s="13" t="s">
        <v>35</v>
      </c>
      <c r="I10" s="9"/>
      <c r="K10" s="9"/>
      <c r="M10" s="29"/>
      <c r="N10" s="29"/>
      <c r="O10" s="34"/>
      <c r="P10" s="29"/>
      <c r="Q10" s="11">
        <v>100</v>
      </c>
      <c r="R10" s="11">
        <v>100</v>
      </c>
      <c r="S10" s="9" t="s">
        <v>52</v>
      </c>
      <c r="V10" s="9" t="s">
        <v>53</v>
      </c>
      <c r="W10" s="9">
        <v>-3.3004030000000002</v>
      </c>
      <c r="X10">
        <v>38.517207999999997</v>
      </c>
      <c r="Y10" s="18"/>
      <c r="AA10" s="13" t="s">
        <v>35</v>
      </c>
      <c r="AD10" s="9" t="s">
        <v>53</v>
      </c>
      <c r="AE10" s="15" t="s">
        <v>39</v>
      </c>
    </row>
    <row r="11" ht="28.5">
      <c r="A11" s="8" t="str">
        <f>"006/137/"&amp;TEXT(ROW()-1,"00")&amp;"/"&amp;MID(TEXT(D11,"0000-0000"),3,2)&amp;"-"&amp;MID(TEXT(D11,"0000-0000"),8,27)</f>
        <v>006/137/10/25-26</v>
      </c>
      <c r="B11" s="9" t="s">
        <v>56</v>
      </c>
      <c r="C11" s="29" t="s">
        <v>45</v>
      </c>
      <c r="D11" s="9" t="s">
        <v>32</v>
      </c>
      <c r="E11" s="11" t="s">
        <v>33</v>
      </c>
      <c r="F11" s="11">
        <v>0</v>
      </c>
      <c r="G11" s="1" t="s">
        <v>34</v>
      </c>
      <c r="H11" s="13" t="s">
        <v>35</v>
      </c>
      <c r="I11" s="9"/>
      <c r="K11" s="9"/>
      <c r="M11" s="29"/>
      <c r="N11" s="29"/>
      <c r="O11" s="29"/>
      <c r="P11" s="29"/>
      <c r="Q11" s="11">
        <v>100</v>
      </c>
      <c r="R11" s="11">
        <v>100</v>
      </c>
      <c r="S11" s="9" t="s">
        <v>57</v>
      </c>
      <c r="T11" s="35"/>
      <c r="U11" s="32"/>
      <c r="V11" s="9" t="s">
        <v>53</v>
      </c>
      <c r="W11" s="9">
        <v>-3.2892700000000001</v>
      </c>
      <c r="X11" s="29">
        <v>38.4463133</v>
      </c>
      <c r="Y11" s="18"/>
      <c r="Z11" s="29"/>
      <c r="AA11" s="13" t="s">
        <v>35</v>
      </c>
      <c r="AB11" s="29"/>
      <c r="AC11" s="29"/>
      <c r="AD11" s="9" t="s">
        <v>53</v>
      </c>
      <c r="AE11" s="15" t="s">
        <v>39</v>
      </c>
      <c r="AF11" s="29"/>
      <c r="AG11" s="29"/>
      <c r="AH11" s="29"/>
      <c r="AI11" s="29"/>
      <c r="AJ11" s="29"/>
      <c r="AK11" s="29"/>
      <c r="AL11" s="29"/>
      <c r="AM11" s="29"/>
      <c r="AN11" s="29"/>
      <c r="AO11" s="35"/>
      <c r="AP11" s="35"/>
      <c r="AQ11" s="35"/>
      <c r="AR11" s="35"/>
      <c r="AS11" s="35"/>
      <c r="AT11" s="35"/>
      <c r="AU11" s="35"/>
    </row>
    <row r="12" ht="28.5">
      <c r="A12" s="8" t="str">
        <f>"006/137/"&amp;TEXT(ROW()-1,"00")&amp;"/"&amp;MID(TEXT(D12,"0000-0000"),3,2)&amp;"-"&amp;MID(TEXT(D12,"0000-0000"),8,27)</f>
        <v>006/137/11/25-26</v>
      </c>
      <c r="B12" s="9" t="s">
        <v>58</v>
      </c>
      <c r="C12" s="29" t="s">
        <v>45</v>
      </c>
      <c r="D12" s="9" t="s">
        <v>32</v>
      </c>
      <c r="E12" s="11" t="s">
        <v>33</v>
      </c>
      <c r="F12" s="11">
        <v>0</v>
      </c>
      <c r="G12" s="1" t="s">
        <v>34</v>
      </c>
      <c r="H12" s="13" t="s">
        <v>35</v>
      </c>
      <c r="I12" s="9"/>
      <c r="K12" s="9"/>
      <c r="M12" s="29"/>
      <c r="N12" s="29"/>
      <c r="O12" s="29"/>
      <c r="P12" s="29"/>
      <c r="Q12" s="11">
        <v>100</v>
      </c>
      <c r="R12" s="11">
        <v>100</v>
      </c>
      <c r="S12" s="9" t="s">
        <v>52</v>
      </c>
      <c r="T12" s="35"/>
      <c r="U12" s="36"/>
      <c r="V12" s="9" t="s">
        <v>53</v>
      </c>
      <c r="W12" s="9">
        <v>-3.2446519999999999</v>
      </c>
      <c r="X12" s="29">
        <v>38.425103</v>
      </c>
      <c r="Y12" s="18"/>
      <c r="Z12" s="29"/>
      <c r="AA12" s="13" t="s">
        <v>35</v>
      </c>
      <c r="AB12" s="29"/>
      <c r="AC12" s="29"/>
      <c r="AD12" s="9" t="s">
        <v>53</v>
      </c>
      <c r="AE12" s="15" t="s">
        <v>39</v>
      </c>
      <c r="AF12" s="29"/>
      <c r="AG12" s="29"/>
      <c r="AH12" s="29"/>
      <c r="AI12" s="29"/>
      <c r="AJ12" s="29"/>
      <c r="AK12" s="29"/>
      <c r="AL12" s="29"/>
      <c r="AM12" s="29"/>
      <c r="AN12" s="29"/>
      <c r="AO12" s="35"/>
      <c r="AP12" s="35"/>
      <c r="AQ12" s="35"/>
      <c r="AR12" s="35"/>
      <c r="AS12" s="35"/>
      <c r="AT12" s="35"/>
      <c r="AU12" s="35"/>
    </row>
    <row r="13" ht="28.5">
      <c r="A13" s="8" t="str">
        <f>"006/137/"&amp;TEXT(ROW()-1,"00")&amp;"/"&amp;MID(TEXT(D13,"0000-0000"),3,2)&amp;"-"&amp;MID(TEXT(D13,"0000-0000"),8,27)</f>
        <v>006/137/12/25-26</v>
      </c>
      <c r="B13" s="22" t="s">
        <v>47</v>
      </c>
      <c r="C13" s="7" t="s">
        <v>31</v>
      </c>
      <c r="D13" s="9" t="s">
        <v>32</v>
      </c>
      <c r="E13" s="11" t="s">
        <v>33</v>
      </c>
      <c r="F13" s="11">
        <v>0</v>
      </c>
      <c r="G13" s="1" t="s">
        <v>34</v>
      </c>
      <c r="H13" s="13" t="s">
        <v>35</v>
      </c>
      <c r="I13" s="9"/>
      <c r="K13" s="9"/>
      <c r="M13" s="29"/>
      <c r="N13" s="29"/>
      <c r="O13" s="29"/>
      <c r="P13" s="29"/>
      <c r="Q13" s="11">
        <v>100</v>
      </c>
      <c r="R13" s="11">
        <v>100</v>
      </c>
      <c r="S13" s="9"/>
      <c r="T13" s="35"/>
      <c r="U13" s="35"/>
      <c r="V13" s="9" t="s">
        <v>48</v>
      </c>
      <c r="W13" s="9" t="s">
        <v>49</v>
      </c>
      <c r="X13" s="29">
        <v>38.446753999999999</v>
      </c>
      <c r="Y13" s="18"/>
      <c r="Z13" s="29"/>
      <c r="AA13" s="13" t="s">
        <v>35</v>
      </c>
      <c r="AB13" s="29"/>
      <c r="AC13" s="29"/>
      <c r="AD13" s="9" t="s">
        <v>48</v>
      </c>
      <c r="AE13" s="15" t="s">
        <v>39</v>
      </c>
      <c r="AF13" s="29"/>
      <c r="AG13" s="29"/>
      <c r="AH13" s="29"/>
      <c r="AI13" s="29"/>
      <c r="AJ13" s="29"/>
      <c r="AK13" s="29"/>
      <c r="AL13" s="29"/>
      <c r="AM13" s="29"/>
      <c r="AN13" s="29"/>
      <c r="AO13" s="35"/>
      <c r="AP13" s="35"/>
      <c r="AQ13" s="35"/>
      <c r="AR13" s="35"/>
      <c r="AS13" s="35"/>
      <c r="AT13" s="35"/>
      <c r="AU13" s="35"/>
    </row>
    <row r="14" ht="14.25">
      <c r="A14" s="8" t="str">
        <f>"006/137/"&amp;TEXT(ROW()-1,"00")&amp;"/"&amp;MID(TEXT(D14,"0000-0000"),3,2)&amp;"-"&amp;MID(TEXT(D14,"0000-0000"),8,27)</f>
        <v>006/137/13/25-26</v>
      </c>
      <c r="B14" s="22" t="s">
        <v>59</v>
      </c>
      <c r="C14" s="7" t="s">
        <v>31</v>
      </c>
      <c r="D14" s="9" t="s">
        <v>32</v>
      </c>
      <c r="E14" s="11" t="s">
        <v>33</v>
      </c>
      <c r="F14" s="11">
        <v>0</v>
      </c>
      <c r="G14" s="37" t="s">
        <v>60</v>
      </c>
      <c r="H14" s="13" t="s">
        <v>35</v>
      </c>
      <c r="I14" s="9"/>
      <c r="K14" s="9"/>
      <c r="M14" s="29"/>
      <c r="N14" s="29"/>
      <c r="O14" s="29"/>
      <c r="P14" s="29"/>
      <c r="Q14" s="11">
        <v>100</v>
      </c>
      <c r="R14" s="11">
        <v>100</v>
      </c>
      <c r="S14" s="22" t="s">
        <v>59</v>
      </c>
      <c r="T14" s="35"/>
      <c r="U14" s="35"/>
      <c r="V14" s="9" t="s">
        <v>61</v>
      </c>
      <c r="W14" s="9" t="s">
        <v>62</v>
      </c>
      <c r="X14" s="29">
        <v>38.332647999999999</v>
      </c>
      <c r="Y14" s="18"/>
      <c r="Z14" s="29"/>
      <c r="AA14" s="13" t="s">
        <v>35</v>
      </c>
      <c r="AB14" s="29"/>
      <c r="AC14" s="29"/>
      <c r="AD14" s="9" t="s">
        <v>61</v>
      </c>
      <c r="AE14" s="15" t="s">
        <v>39</v>
      </c>
      <c r="AF14" s="38"/>
      <c r="AG14" s="29"/>
      <c r="AH14" s="29"/>
      <c r="AI14" s="29"/>
      <c r="AJ14" s="29"/>
      <c r="AK14" s="29"/>
      <c r="AL14" s="29"/>
      <c r="AM14" s="29"/>
      <c r="AN14" s="29"/>
      <c r="AO14" s="35"/>
      <c r="AP14" s="35"/>
      <c r="AQ14" s="35"/>
      <c r="AR14" s="35"/>
      <c r="AS14" s="35"/>
      <c r="AT14" s="35"/>
      <c r="AU14" s="35"/>
    </row>
    <row r="15" ht="28.5">
      <c r="A15" s="8" t="str">
        <f>"006/137/"&amp;TEXT(ROW()-1,"00")&amp;"/"&amp;MID(TEXT(D15,"0000-0000"),3,2)&amp;"-"&amp;MID(TEXT(D15,"0000-0000"),8,27)</f>
        <v>006/137/14/25-26</v>
      </c>
      <c r="B15" s="9" t="s">
        <v>63</v>
      </c>
      <c r="C15" s="29" t="s">
        <v>45</v>
      </c>
      <c r="D15" s="9" t="s">
        <v>32</v>
      </c>
      <c r="E15" s="11" t="s">
        <v>33</v>
      </c>
      <c r="F15" s="11">
        <v>0</v>
      </c>
      <c r="G15" s="1" t="s">
        <v>34</v>
      </c>
      <c r="H15" s="13" t="s">
        <v>35</v>
      </c>
      <c r="I15" s="9"/>
      <c r="K15" s="9"/>
      <c r="M15" s="29"/>
      <c r="N15" s="29"/>
      <c r="O15" s="29"/>
      <c r="P15" s="29"/>
      <c r="Q15" s="11">
        <v>100</v>
      </c>
      <c r="R15" s="11">
        <v>100</v>
      </c>
      <c r="S15" s="9" t="s">
        <v>64</v>
      </c>
      <c r="T15" s="35"/>
      <c r="U15" s="35"/>
      <c r="V15" s="9" t="s">
        <v>65</v>
      </c>
      <c r="W15" s="9"/>
      <c r="X15" s="29"/>
      <c r="Y15" s="18"/>
      <c r="Z15" s="29"/>
      <c r="AA15" s="13" t="s">
        <v>35</v>
      </c>
      <c r="AB15" s="29"/>
      <c r="AC15" s="29"/>
      <c r="AD15" s="9" t="s">
        <v>65</v>
      </c>
      <c r="AE15" s="15" t="s">
        <v>39</v>
      </c>
      <c r="AF15" s="38"/>
      <c r="AG15" s="29"/>
      <c r="AH15" s="29"/>
      <c r="AI15" s="29"/>
      <c r="AJ15" s="29"/>
      <c r="AK15" s="29"/>
      <c r="AL15" s="29"/>
      <c r="AM15" s="29"/>
      <c r="AN15" s="29"/>
      <c r="AO15" s="35"/>
      <c r="AP15" s="35"/>
      <c r="AQ15" s="35"/>
      <c r="AR15" s="35"/>
      <c r="AS15" s="35"/>
      <c r="AT15" s="35"/>
      <c r="AU15" s="35"/>
    </row>
    <row r="16" ht="28.5">
      <c r="A16" s="8" t="str">
        <f>"006/137/"&amp;TEXT(ROW()-1,"00")&amp;"/"&amp;MID(TEXT(D16,"0000-0000"),3,2)&amp;"-"&amp;MID(TEXT(D16,"0000-0000"),8,27)</f>
        <v>006/137/15/25-26</v>
      </c>
      <c r="B16" s="9" t="s">
        <v>66</v>
      </c>
      <c r="C16" s="7" t="s">
        <v>31</v>
      </c>
      <c r="D16" s="9" t="s">
        <v>32</v>
      </c>
      <c r="E16" s="11" t="s">
        <v>33</v>
      </c>
      <c r="F16" s="11">
        <v>0</v>
      </c>
      <c r="G16" s="1" t="s">
        <v>34</v>
      </c>
      <c r="H16" s="13" t="s">
        <v>35</v>
      </c>
      <c r="I16" s="9"/>
      <c r="K16" s="9"/>
      <c r="M16" s="29"/>
      <c r="N16" s="29"/>
      <c r="O16" s="29"/>
      <c r="P16" s="29"/>
      <c r="Q16" s="11">
        <v>100</v>
      </c>
      <c r="R16" s="11">
        <v>100</v>
      </c>
      <c r="S16" s="9" t="s">
        <v>67</v>
      </c>
      <c r="T16" s="35"/>
      <c r="U16" s="35"/>
      <c r="V16" s="9" t="s">
        <v>68</v>
      </c>
      <c r="W16" s="9">
        <v>-3.6762000000000001</v>
      </c>
      <c r="X16" s="29">
        <v>38.665300000000002</v>
      </c>
      <c r="Y16" s="18"/>
      <c r="Z16" s="29"/>
      <c r="AA16" s="13" t="s">
        <v>35</v>
      </c>
      <c r="AB16" s="29"/>
      <c r="AC16" s="29"/>
      <c r="AD16" s="9" t="s">
        <v>69</v>
      </c>
      <c r="AE16" s="15" t="s">
        <v>39</v>
      </c>
      <c r="AF16" s="38"/>
      <c r="AG16" s="29"/>
      <c r="AH16" s="29"/>
      <c r="AI16" s="29"/>
      <c r="AJ16" s="29"/>
      <c r="AK16" s="29"/>
      <c r="AL16" s="29"/>
      <c r="AM16" s="29"/>
      <c r="AN16" s="29"/>
      <c r="AO16" s="35"/>
      <c r="AP16" s="35"/>
      <c r="AQ16" s="35"/>
      <c r="AR16" s="35"/>
      <c r="AS16" s="35"/>
      <c r="AT16" s="35"/>
      <c r="AU16" s="35"/>
    </row>
    <row r="17" ht="28.5">
      <c r="A17" s="8" t="str">
        <f>"006/137/"&amp;TEXT(ROW()-1,"00")&amp;"/"&amp;MID(TEXT(D17,"0000-0000"),3,2)&amp;"-"&amp;MID(TEXT(D17,"0000-0000"),8,27)</f>
        <v>006/137/16/25-26</v>
      </c>
      <c r="B17" s="9" t="s">
        <v>70</v>
      </c>
      <c r="C17" s="7" t="s">
        <v>31</v>
      </c>
      <c r="D17" s="9" t="s">
        <v>32</v>
      </c>
      <c r="E17" s="11" t="s">
        <v>33</v>
      </c>
      <c r="F17" s="11">
        <v>0</v>
      </c>
      <c r="G17" s="1" t="s">
        <v>34</v>
      </c>
      <c r="H17" s="13" t="s">
        <v>35</v>
      </c>
      <c r="I17" s="9"/>
      <c r="K17" s="9"/>
      <c r="M17" s="29"/>
      <c r="N17" s="29"/>
      <c r="O17" s="29"/>
      <c r="P17" s="29"/>
      <c r="Q17" s="11">
        <v>100</v>
      </c>
      <c r="R17" s="11">
        <v>100</v>
      </c>
      <c r="S17" s="9" t="s">
        <v>67</v>
      </c>
      <c r="T17" s="35"/>
      <c r="U17" s="35"/>
      <c r="V17" s="9" t="s">
        <v>68</v>
      </c>
      <c r="W17" s="9">
        <v>-3.6884000000000001</v>
      </c>
      <c r="X17" s="29">
        <v>38.668399999999998</v>
      </c>
      <c r="Y17" s="18"/>
      <c r="Z17" s="29"/>
      <c r="AA17" s="13" t="s">
        <v>35</v>
      </c>
      <c r="AB17" s="29"/>
      <c r="AC17" s="29"/>
      <c r="AD17" s="9" t="s">
        <v>69</v>
      </c>
      <c r="AE17" s="15" t="s">
        <v>39</v>
      </c>
      <c r="AF17" s="38"/>
      <c r="AG17" s="29"/>
      <c r="AH17" s="29"/>
      <c r="AI17" s="29"/>
      <c r="AJ17" s="29"/>
      <c r="AK17" s="29"/>
      <c r="AL17" s="29"/>
      <c r="AM17" s="29"/>
      <c r="AN17" s="29"/>
      <c r="AO17" s="35"/>
      <c r="AP17" s="35"/>
      <c r="AQ17" s="35"/>
      <c r="AR17" s="35"/>
      <c r="AS17" s="35"/>
      <c r="AT17" s="35"/>
      <c r="AU17" s="35"/>
    </row>
    <row r="18" ht="14.25">
      <c r="A18" s="8" t="str">
        <f>"006/137/"&amp;TEXT(ROW()-1,"00")&amp;"/"&amp;MID(TEXT(D18,"0000-0000"),3,2)&amp;"-"&amp;MID(TEXT(D18,"0000-0000"),8,27)</f>
        <v>006/137/17/25-26</v>
      </c>
      <c r="B18" s="9" t="s">
        <v>71</v>
      </c>
      <c r="C18" s="29" t="s">
        <v>45</v>
      </c>
      <c r="D18" s="9" t="s">
        <v>32</v>
      </c>
      <c r="E18" s="11" t="s">
        <v>33</v>
      </c>
      <c r="F18" s="11">
        <v>0</v>
      </c>
      <c r="G18" s="37" t="s">
        <v>60</v>
      </c>
      <c r="H18" s="13" t="s">
        <v>35</v>
      </c>
      <c r="I18" s="9"/>
      <c r="K18" s="9"/>
      <c r="M18" s="29"/>
      <c r="N18" s="29"/>
      <c r="O18" s="29"/>
      <c r="P18" s="29"/>
      <c r="Q18" s="11">
        <v>100</v>
      </c>
      <c r="R18" s="11">
        <v>100</v>
      </c>
      <c r="S18" s="9" t="s">
        <v>72</v>
      </c>
      <c r="T18" s="35"/>
      <c r="U18" s="35"/>
      <c r="V18" s="9" t="s">
        <v>68</v>
      </c>
      <c r="W18" s="9">
        <v>-3.8330000000000002</v>
      </c>
      <c r="X18" s="29">
        <v>38.6815</v>
      </c>
      <c r="Y18" s="18"/>
      <c r="Z18" s="29"/>
      <c r="AA18" s="13" t="s">
        <v>35</v>
      </c>
      <c r="AB18" s="29"/>
      <c r="AC18" s="29"/>
      <c r="AD18" s="9" t="s">
        <v>69</v>
      </c>
      <c r="AE18" s="15" t="s">
        <v>39</v>
      </c>
      <c r="AF18" s="29"/>
      <c r="AG18" s="29"/>
      <c r="AH18" s="29"/>
      <c r="AI18" s="29"/>
      <c r="AJ18" s="29"/>
      <c r="AK18" s="29"/>
      <c r="AL18" s="29"/>
      <c r="AM18" s="29"/>
      <c r="AN18" s="29"/>
      <c r="AO18" s="35"/>
      <c r="AP18" s="35"/>
      <c r="AQ18" s="35"/>
      <c r="AR18" s="35"/>
      <c r="AS18" s="35"/>
      <c r="AT18" s="35"/>
      <c r="AU18" s="35"/>
    </row>
    <row r="19" ht="28.5">
      <c r="A19" s="8" t="str">
        <f>"006/137/"&amp;TEXT(ROW()-1,"00")&amp;"/"&amp;MID(TEXT(D19,"0000-0000"),3,2)&amp;"-"&amp;MID(TEXT(D19,"0000-0000"),8,27)</f>
        <v>006/137/18/25-26</v>
      </c>
      <c r="B19" s="9" t="s">
        <v>73</v>
      </c>
      <c r="C19" s="29" t="s">
        <v>45</v>
      </c>
      <c r="D19" s="9" t="s">
        <v>32</v>
      </c>
      <c r="E19" s="11" t="s">
        <v>33</v>
      </c>
      <c r="F19" s="11">
        <v>0</v>
      </c>
      <c r="G19" s="37" t="s">
        <v>60</v>
      </c>
      <c r="H19" s="13" t="s">
        <v>35</v>
      </c>
      <c r="I19" s="9"/>
      <c r="K19" s="9"/>
      <c r="M19" s="29"/>
      <c r="N19" s="29"/>
      <c r="O19" s="34"/>
      <c r="P19" s="34"/>
      <c r="Q19" s="11">
        <v>100</v>
      </c>
      <c r="R19" s="11">
        <v>100</v>
      </c>
      <c r="S19" s="9" t="s">
        <v>74</v>
      </c>
      <c r="T19" s="35"/>
      <c r="U19" s="35"/>
      <c r="V19" s="9" t="s">
        <v>68</v>
      </c>
      <c r="W19" s="9">
        <v>-3.6880000000000002</v>
      </c>
      <c r="X19" s="29">
        <v>38.668700000000001</v>
      </c>
      <c r="Y19" s="18"/>
      <c r="Z19" s="29"/>
      <c r="AA19" s="13" t="s">
        <v>35</v>
      </c>
      <c r="AB19" s="29"/>
      <c r="AC19" s="29"/>
      <c r="AD19" s="9" t="s">
        <v>69</v>
      </c>
      <c r="AE19" s="15" t="s">
        <v>39</v>
      </c>
      <c r="AF19" s="29"/>
      <c r="AG19" s="29"/>
      <c r="AH19" s="29"/>
      <c r="AI19" s="29"/>
      <c r="AJ19" s="29"/>
      <c r="AK19" s="29"/>
      <c r="AL19" s="29"/>
      <c r="AM19" s="29"/>
      <c r="AN19" s="29"/>
      <c r="AO19" s="35"/>
      <c r="AP19" s="35"/>
      <c r="AQ19" s="35"/>
      <c r="AR19" s="35"/>
      <c r="AS19" s="35"/>
      <c r="AT19" s="35"/>
      <c r="AU19" s="35"/>
    </row>
    <row r="20" ht="14.25">
      <c r="A20" s="8" t="str">
        <f>"006/137/"&amp;TEXT(ROW()-1,"00")&amp;"/"&amp;MID(TEXT(D20,"0000-0000"),3,2)&amp;"-"&amp;MID(TEXT(D20,"0000-0000"),8,27)</f>
        <v>006/137/19/25-26</v>
      </c>
      <c r="B20" s="9" t="s">
        <v>75</v>
      </c>
      <c r="C20" s="29" t="s">
        <v>45</v>
      </c>
      <c r="D20" s="9" t="s">
        <v>32</v>
      </c>
      <c r="E20" s="11" t="s">
        <v>33</v>
      </c>
      <c r="F20" s="11">
        <v>0</v>
      </c>
      <c r="G20" s="37" t="s">
        <v>76</v>
      </c>
      <c r="H20" s="13" t="s">
        <v>35</v>
      </c>
      <c r="I20" s="9"/>
      <c r="K20" s="9"/>
      <c r="M20" s="29"/>
      <c r="N20" s="29"/>
      <c r="O20" s="29"/>
      <c r="P20" s="29"/>
      <c r="Q20" s="11">
        <v>100</v>
      </c>
      <c r="R20" s="11">
        <v>100</v>
      </c>
      <c r="S20" s="9" t="s">
        <v>77</v>
      </c>
      <c r="T20" s="35"/>
      <c r="U20" s="36"/>
      <c r="V20" s="9" t="s">
        <v>68</v>
      </c>
      <c r="W20" s="9">
        <v>-3.7037</v>
      </c>
      <c r="X20" s="29">
        <v>38.689799999999998</v>
      </c>
      <c r="Y20" s="18"/>
      <c r="Z20" s="29"/>
      <c r="AA20" s="13" t="s">
        <v>35</v>
      </c>
      <c r="AB20" s="29"/>
      <c r="AC20" s="29"/>
      <c r="AD20" s="9" t="s">
        <v>69</v>
      </c>
      <c r="AE20" s="15" t="s">
        <v>39</v>
      </c>
      <c r="AF20" s="29"/>
      <c r="AG20" s="29"/>
      <c r="AH20" s="29"/>
      <c r="AI20" s="29"/>
      <c r="AJ20" s="29"/>
      <c r="AK20" s="29"/>
      <c r="AL20" s="29"/>
      <c r="AM20" s="29"/>
      <c r="AN20" s="29"/>
      <c r="AO20" s="35"/>
      <c r="AP20" s="35"/>
      <c r="AQ20" s="35"/>
      <c r="AR20" s="35"/>
      <c r="AS20" s="35"/>
      <c r="AT20" s="35"/>
      <c r="AU20" s="35"/>
    </row>
    <row r="21" ht="28.5">
      <c r="A21" s="8" t="str">
        <f>"006/137/"&amp;TEXT(ROW()-1,"00")&amp;"/"&amp;MID(TEXT(D21,"0000-0000"),3,2)&amp;"-"&amp;MID(TEXT(D21,"0000-0000"),8,27)</f>
        <v>006/137/20/25-26</v>
      </c>
      <c r="B21" s="9" t="s">
        <v>78</v>
      </c>
      <c r="C21" s="7" t="s">
        <v>31</v>
      </c>
      <c r="D21" s="9" t="s">
        <v>32</v>
      </c>
      <c r="E21" s="11" t="s">
        <v>33</v>
      </c>
      <c r="F21" s="11">
        <v>0</v>
      </c>
      <c r="G21" s="1" t="s">
        <v>34</v>
      </c>
      <c r="H21" s="13" t="s">
        <v>35</v>
      </c>
      <c r="I21" s="9"/>
      <c r="K21" s="9"/>
      <c r="M21" s="29"/>
      <c r="N21" s="29"/>
      <c r="O21" s="29"/>
      <c r="P21" s="29"/>
      <c r="Q21" s="11">
        <v>100</v>
      </c>
      <c r="R21" s="11">
        <v>100</v>
      </c>
      <c r="S21" s="9" t="s">
        <v>79</v>
      </c>
      <c r="T21" s="35"/>
      <c r="U21" s="36"/>
      <c r="V21" s="9" t="s">
        <v>68</v>
      </c>
      <c r="W21" s="9">
        <v>-3.6913999999999998</v>
      </c>
      <c r="X21" s="29">
        <v>38.6706</v>
      </c>
      <c r="Y21" s="18"/>
      <c r="Z21" s="29"/>
      <c r="AA21" s="13" t="s">
        <v>35</v>
      </c>
      <c r="AB21" s="29"/>
      <c r="AC21" s="29"/>
      <c r="AD21" s="9" t="s">
        <v>69</v>
      </c>
      <c r="AE21" s="15" t="s">
        <v>39</v>
      </c>
      <c r="AF21" s="29"/>
      <c r="AG21" s="29"/>
      <c r="AH21" s="29"/>
      <c r="AI21" s="29"/>
      <c r="AJ21" s="29"/>
      <c r="AK21" s="29"/>
      <c r="AL21" s="29"/>
      <c r="AM21" s="29"/>
      <c r="AN21" s="29"/>
      <c r="AO21" s="35"/>
      <c r="AP21" s="35"/>
      <c r="AQ21" s="35"/>
      <c r="AR21" s="35"/>
      <c r="AS21" s="35"/>
      <c r="AT21" s="35"/>
      <c r="AU21" s="35"/>
    </row>
    <row r="22" ht="14.25">
      <c r="A22" s="39"/>
      <c r="D22" s="32"/>
      <c r="E22" s="40"/>
      <c r="G22" s="37"/>
      <c r="H22" s="9"/>
      <c r="I22" s="9"/>
      <c r="K22" s="9"/>
      <c r="M22" s="29"/>
      <c r="N22" s="29"/>
      <c r="O22" s="29"/>
      <c r="P22" s="29"/>
      <c r="Q22" s="29"/>
      <c r="R22" s="29"/>
      <c r="S22" s="35"/>
      <c r="T22" s="35"/>
      <c r="U22" s="36"/>
      <c r="V22" s="29"/>
      <c r="W22" s="29"/>
      <c r="X22" s="29"/>
      <c r="Y22" s="29"/>
      <c r="Z22" s="29"/>
      <c r="AA22" s="38"/>
      <c r="AB22" s="29"/>
      <c r="AC22" s="29"/>
      <c r="AD22" s="35"/>
      <c r="AF22" s="29"/>
      <c r="AG22" s="29"/>
      <c r="AH22" s="29"/>
      <c r="AI22" s="29"/>
      <c r="AJ22" s="29"/>
      <c r="AK22" s="29"/>
      <c r="AL22" s="29"/>
      <c r="AM22" s="29"/>
      <c r="AN22" s="29"/>
      <c r="AO22" s="35"/>
      <c r="AP22" s="35"/>
      <c r="AQ22" s="35"/>
      <c r="AR22" s="35"/>
      <c r="AS22" s="35"/>
      <c r="AT22" s="35"/>
      <c r="AU22" s="35"/>
    </row>
    <row r="23" ht="14.25">
      <c r="A23" s="39"/>
      <c r="D23" s="32"/>
      <c r="E23" s="40"/>
      <c r="G23" s="41"/>
      <c r="H23" s="9"/>
      <c r="I23" s="9"/>
      <c r="K23" s="9"/>
      <c r="M23" s="29"/>
      <c r="N23" s="29"/>
      <c r="O23" s="29"/>
      <c r="P23" s="29"/>
      <c r="Q23" s="29"/>
      <c r="R23" s="29"/>
      <c r="S23" s="35"/>
      <c r="T23" s="35"/>
      <c r="U23" s="36"/>
      <c r="V23" s="29"/>
      <c r="W23" s="29"/>
      <c r="X23" s="29"/>
      <c r="Y23" s="29"/>
      <c r="Z23" s="29"/>
      <c r="AA23" s="38"/>
      <c r="AB23" s="29"/>
      <c r="AC23" s="29"/>
      <c r="AD23" s="35"/>
      <c r="AF23" s="29"/>
      <c r="AG23" s="29"/>
      <c r="AH23" s="29"/>
      <c r="AI23" s="29"/>
      <c r="AJ23" s="29"/>
      <c r="AK23" s="29"/>
      <c r="AL23" s="29"/>
      <c r="AM23" s="29"/>
      <c r="AN23" s="29"/>
      <c r="AO23" s="35"/>
      <c r="AP23" s="35"/>
      <c r="AQ23" s="35"/>
      <c r="AR23" s="35"/>
      <c r="AS23" s="35"/>
      <c r="AT23" s="35"/>
      <c r="AU23" s="35"/>
    </row>
    <row r="24" ht="14.25">
      <c r="A24" s="39"/>
      <c r="D24" s="9"/>
      <c r="E24" s="40"/>
      <c r="G24" s="41"/>
      <c r="H24" s="9"/>
      <c r="I24" s="9"/>
      <c r="K24" s="9"/>
      <c r="M24" s="29"/>
      <c r="N24" s="29"/>
      <c r="O24" s="29"/>
      <c r="P24" s="29"/>
      <c r="Q24" s="29"/>
      <c r="R24" s="29"/>
      <c r="S24" s="35"/>
      <c r="T24" s="35"/>
      <c r="U24" s="36"/>
      <c r="V24" s="29"/>
      <c r="W24" s="29"/>
      <c r="X24" s="29"/>
      <c r="Y24" s="29"/>
      <c r="Z24" s="29"/>
      <c r="AA24" s="38"/>
      <c r="AB24" s="29"/>
      <c r="AC24" s="29"/>
      <c r="AD24" s="35"/>
      <c r="AF24" s="29"/>
      <c r="AG24" s="29"/>
      <c r="AH24" s="29"/>
      <c r="AI24" s="29"/>
      <c r="AJ24" s="29"/>
      <c r="AK24" s="29"/>
      <c r="AL24" s="29"/>
      <c r="AM24" s="29"/>
      <c r="AN24" s="29"/>
      <c r="AO24" s="35"/>
      <c r="AP24" s="35"/>
      <c r="AQ24" s="35"/>
      <c r="AR24" s="35"/>
      <c r="AS24" s="35"/>
      <c r="AT24" s="35"/>
      <c r="AU24" s="35"/>
    </row>
    <row r="25" ht="14.25">
      <c r="A25" s="39"/>
      <c r="D25" s="9"/>
      <c r="E25" s="40"/>
      <c r="G25" s="41"/>
      <c r="H25" s="9"/>
      <c r="I25" s="9"/>
      <c r="K25" s="9"/>
      <c r="M25" s="29"/>
      <c r="N25" s="29"/>
      <c r="O25" s="29"/>
      <c r="P25" s="29"/>
      <c r="Q25" s="29"/>
      <c r="R25" s="29"/>
      <c r="S25" s="35"/>
      <c r="T25" s="35"/>
      <c r="U25" s="36"/>
      <c r="V25" s="29"/>
      <c r="W25" s="29"/>
      <c r="X25" s="29"/>
      <c r="Y25" s="29"/>
      <c r="Z25" s="29"/>
      <c r="AA25" s="38"/>
      <c r="AB25" s="29"/>
      <c r="AC25" s="29"/>
      <c r="AD25" s="35"/>
      <c r="AF25" s="29"/>
      <c r="AG25" s="29"/>
      <c r="AH25" s="29"/>
      <c r="AI25" s="29"/>
      <c r="AJ25" s="29"/>
      <c r="AK25" s="29"/>
      <c r="AL25" s="29"/>
      <c r="AM25" s="29"/>
      <c r="AN25" s="29"/>
      <c r="AO25" s="35"/>
      <c r="AP25" s="35"/>
      <c r="AQ25" s="35"/>
      <c r="AR25" s="35"/>
      <c r="AS25" s="35"/>
      <c r="AT25" s="35"/>
      <c r="AU25" s="35"/>
    </row>
    <row r="26" ht="14.25">
      <c r="A26" s="39"/>
      <c r="D26" s="32"/>
      <c r="E26" s="40"/>
      <c r="G26" s="41"/>
      <c r="H26" s="9"/>
      <c r="I26" s="9"/>
      <c r="K26" s="9"/>
      <c r="M26" s="29"/>
      <c r="N26" s="29"/>
      <c r="O26" s="29"/>
      <c r="P26" s="29"/>
      <c r="Q26" s="29"/>
      <c r="R26" s="29"/>
      <c r="S26" s="35"/>
      <c r="T26" s="35"/>
      <c r="U26" s="36"/>
      <c r="V26" s="29"/>
      <c r="W26" s="29"/>
      <c r="X26" s="29"/>
      <c r="Y26" s="29"/>
      <c r="Z26" s="29"/>
      <c r="AA26" s="38"/>
      <c r="AB26" s="29"/>
      <c r="AC26" s="29"/>
      <c r="AD26" s="35"/>
      <c r="AF26" s="29"/>
      <c r="AG26" s="29"/>
      <c r="AH26" s="29"/>
      <c r="AI26" s="29"/>
      <c r="AJ26" s="29"/>
      <c r="AK26" s="29"/>
      <c r="AL26" s="29"/>
      <c r="AM26" s="29"/>
      <c r="AN26" s="29"/>
      <c r="AO26" s="35"/>
      <c r="AP26" s="35"/>
      <c r="AQ26" s="35"/>
      <c r="AR26" s="35"/>
      <c r="AS26" s="35"/>
      <c r="AT26" s="35"/>
      <c r="AU26" s="35"/>
    </row>
  </sheetData>
  <dataValidations count="15" disablePrompts="0">
    <dataValidation sqref="AM11" type="list" allowBlank="1" errorStyle="stop" imeMode="noControl" operator="between" showDropDown="0" showErrorMessage="1" showInputMessage="0">
      <formula1>'Formula Sheet'!$B$12:$B$14</formula1>
    </dataValidation>
    <dataValidation sqref="AO11" type="list" allowBlank="1" errorStyle="stop" imeMode="noControl" operator="between" showDropDown="0" showErrorMessage="1" showInputMessage="0">
      <formula1>'Formula Sheet'!$B$8:$B$9</formula1>
    </dataValidation>
    <dataValidation sqref="AO12" type="list" allowBlank="1" errorStyle="stop" imeMode="noControl" operator="between" showDropDown="0" showErrorMessage="1" showInputMessage="0">
      <formula1>'Formula Sheet'!$B$8:$B$9</formula1>
    </dataValidation>
    <dataValidation sqref="AM13" type="list" allowBlank="1" errorStyle="stop" imeMode="noControl" operator="between" showDropDown="0" showErrorMessage="1" showInputMessage="0">
      <formula1>'Formula Sheet'!$B$12:$B$14</formula1>
    </dataValidation>
    <dataValidation sqref="AO13" type="list" allowBlank="1" errorStyle="stop" imeMode="noControl" operator="between" showDropDown="0" showErrorMessage="1" showInputMessage="0">
      <formula1>'Formula Sheet'!$B$8:$B$9</formula1>
    </dataValidation>
    <dataValidation sqref="AO14:AO15" type="list" allowBlank="1" errorStyle="stop" imeMode="noControl" operator="between" showDropDown="0" showErrorMessage="1" showInputMessage="0">
      <formula1>'Formula Sheet'!$B$8:$B$9</formula1>
    </dataValidation>
    <dataValidation sqref="AM16" type="list" allowBlank="1" errorStyle="stop" imeMode="noControl" operator="between" showDropDown="0" showErrorMessage="1" showInputMessage="0">
      <formula1>'Formula Sheet'!$B$12:$B$14</formula1>
    </dataValidation>
    <dataValidation sqref="AO16" type="list" allowBlank="1" errorStyle="stop" imeMode="noControl" operator="between" showDropDown="0" showErrorMessage="1" showInputMessage="0">
      <formula1>'Formula Sheet'!$B$8:$B$9</formula1>
    </dataValidation>
    <dataValidation sqref="AO17" type="list" allowBlank="1" errorStyle="stop" imeMode="noControl" operator="between" showDropDown="0" showErrorMessage="1" showInputMessage="0">
      <formula1>'Formula Sheet'!$B$8:$B$9</formula1>
    </dataValidation>
    <dataValidation sqref="AM18" type="list" allowBlank="1" errorStyle="stop" imeMode="noControl" operator="between" showDropDown="0" showErrorMessage="1" showInputMessage="0">
      <formula1>'Formula Sheet'!$B$12:$B$14</formula1>
    </dataValidation>
    <dataValidation sqref="AO18" type="list" allowBlank="1" errorStyle="stop" imeMode="noControl" operator="between" showDropDown="0" showErrorMessage="1" showInputMessage="0">
      <formula1>'Formula Sheet'!$B$8:$B$9</formula1>
    </dataValidation>
    <dataValidation sqref="AM19" type="list" allowBlank="1" errorStyle="stop" imeMode="noControl" operator="between" showDropDown="0" showErrorMessage="1" showInputMessage="0">
      <formula1>'Formula Sheet'!$B$12:$B$14</formula1>
    </dataValidation>
    <dataValidation sqref="AO19" type="list" allowBlank="1" errorStyle="stop" imeMode="noControl" operator="between" showDropDown="0" showErrorMessage="1" showInputMessage="0">
      <formula1>'Formula Sheet'!$B$8:$B$9</formula1>
    </dataValidation>
    <dataValidation sqref="AO20" type="list" allowBlank="1" errorStyle="stop" imeMode="noControl" operator="between" showDropDown="0" showErrorMessage="1" showInputMessage="0">
      <formula1>'Formula Sheet'!$B$8:$B$9</formula1>
    </dataValidation>
    <dataValidation sqref="AO21:AO26" type="list" allowBlank="1" errorStyle="stop" imeMode="noControl" operator="between" showDropDown="0" showErrorMessage="1" showInputMessage="0">
      <formula1>'Formula Sheet'!$B$8:$B$9</formula1>
    </dataValidation>
  </dataValidation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2026-04-02T10:44:50Z</dcterms:modified>
</cp:coreProperties>
</file>