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<sst xmlns="http://schemas.openxmlformats.org/spreadsheetml/2006/main" count="230" uniqueCount="230">
  <si>
    <t xml:space="preserve">Project Number</t>
  </si>
  <si>
    <t xml:space="preserve">Project Title</t>
  </si>
  <si>
    <t xml:space="preserve">Project Status</t>
  </si>
  <si>
    <t xml:space="preserve">Financial Year</t>
  </si>
  <si>
    <t xml:space="preserve">Contractor Name</t>
  </si>
  <si>
    <t xml:space="preserve">Estimated Cost</t>
  </si>
  <si>
    <t>Department</t>
  </si>
  <si>
    <t xml:space="preserve">Implemented By</t>
  </si>
  <si>
    <t>Partner</t>
  </si>
  <si>
    <t xml:space="preserve">Expected Start Date</t>
  </si>
  <si>
    <t xml:space="preserve">Expected End Date</t>
  </si>
  <si>
    <t xml:space="preserve">Approval/Contract Number</t>
  </si>
  <si>
    <t xml:space="preserve">Contract Period (Days)</t>
  </si>
  <si>
    <t xml:space="preserve">Technical Rating</t>
  </si>
  <si>
    <t xml:space="preserve">Completion Level</t>
  </si>
  <si>
    <t xml:space="preserve">Amount Paid</t>
  </si>
  <si>
    <t xml:space="preserve">Percentage of Funding (Source of Funds)</t>
  </si>
  <si>
    <t xml:space="preserve">Total Percentage</t>
  </si>
  <si>
    <t xml:space="preserve">Project Scope</t>
  </si>
  <si>
    <t xml:space="preserve">Administrative Level</t>
  </si>
  <si>
    <t xml:space="preserve">Project Location</t>
  </si>
  <si>
    <t xml:space="preserve">Location Names</t>
  </si>
  <si>
    <t>Latitude</t>
  </si>
  <si>
    <t>Longitude</t>
  </si>
  <si>
    <t xml:space="preserve">ID (Source of Funds)</t>
  </si>
  <si>
    <t xml:space="preserve">Funded By (Source of Funds)</t>
  </si>
  <si>
    <t xml:space="preserve">Partner (Source of Funds)</t>
  </si>
  <si>
    <t xml:space="preserve">ID (Administrative Areas)</t>
  </si>
  <si>
    <t xml:space="preserve">Admin (Administrative Areas)</t>
  </si>
  <si>
    <t xml:space="preserve">Admin Level (Administrative Areas)</t>
  </si>
  <si>
    <t xml:space="preserve">Extension of administration</t>
  </si>
  <si>
    <t>Complete</t>
  </si>
  <si>
    <t>2015-2016</t>
  </si>
  <si>
    <t>none</t>
  </si>
  <si>
    <t xml:space="preserve">Public Works, Infrastructure, Housing and Energy</t>
  </si>
  <si>
    <t xml:space="preserve">County Government</t>
  </si>
  <si>
    <t>nil</t>
  </si>
  <si>
    <t xml:space="preserve">Expand administrative office space</t>
  </si>
  <si>
    <t>BOMENI</t>
  </si>
  <si>
    <t>-352879.804E</t>
  </si>
  <si>
    <t xml:space="preserve">Admin 3</t>
  </si>
  <si>
    <t xml:space="preserve">Taveta Buspark sanitation block</t>
  </si>
  <si>
    <t>2013-2014</t>
  </si>
  <si>
    <t xml:space="preserve">Water,Sanitation,Environment and Climate Change</t>
  </si>
  <si>
    <t xml:space="preserve">Construct public sanitation facilities</t>
  </si>
  <si>
    <t>-352853.053E</t>
  </si>
  <si>
    <t xml:space="preserve">Bodaboda shade taveta stage</t>
  </si>
  <si>
    <t xml:space="preserve">Youth,Gender,Sports,Culture and Soial Services</t>
  </si>
  <si>
    <t xml:space="preserve">Construct bodaboda waiting shade</t>
  </si>
  <si>
    <t>-352795.615E</t>
  </si>
  <si>
    <t xml:space="preserve">Motor grader</t>
  </si>
  <si>
    <t>2020-2021</t>
  </si>
  <si>
    <t xml:space="preserve">Procure road grading equipment</t>
  </si>
  <si>
    <t>-352789.303E</t>
  </si>
  <si>
    <t>2024-2025</t>
  </si>
  <si>
    <t xml:space="preserve">Farm tractor</t>
  </si>
  <si>
    <t xml:space="preserve">Procure agricultural tractor equipment</t>
  </si>
  <si>
    <t>-352935.962E</t>
  </si>
  <si>
    <t xml:space="preserve">Taveta Primary ECD</t>
  </si>
  <si>
    <t>2016-2017</t>
  </si>
  <si>
    <t xml:space="preserve">Construct early childhood classrooms</t>
  </si>
  <si>
    <t>9623943</t>
  </si>
  <si>
    <t xml:space="preserve">Bura ndogo A Nomia Church</t>
  </si>
  <si>
    <t xml:space="preserve">Support community church construction</t>
  </si>
  <si>
    <t>-353173.266E</t>
  </si>
  <si>
    <t xml:space="preserve">Corona Borehole &amp; Equiping</t>
  </si>
  <si>
    <t>2023-2024</t>
  </si>
  <si>
    <t xml:space="preserve">Drill and equip borehole</t>
  </si>
  <si>
    <t>-352821.513E</t>
  </si>
  <si>
    <t xml:space="preserve">Goshen Njoro road </t>
  </si>
  <si>
    <t xml:space="preserve">Construct and grade access road</t>
  </si>
  <si>
    <t>-353354.715E</t>
  </si>
  <si>
    <t xml:space="preserve">Goshen Njoro culverts-slab</t>
  </si>
  <si>
    <t>2021-2022</t>
  </si>
  <si>
    <t xml:space="preserve">Install culverts and concrete slab</t>
  </si>
  <si>
    <t>-353280.462E</t>
  </si>
  <si>
    <t xml:space="preserve">Masamo University Nursery Road</t>
  </si>
  <si>
    <t xml:space="preserve">Construct nursery access road</t>
  </si>
  <si>
    <t xml:space="preserve">University Njoro</t>
  </si>
  <si>
    <t xml:space="preserve">Construct internal access roads</t>
  </si>
  <si>
    <t>-353385.946E</t>
  </si>
  <si>
    <t xml:space="preserve">Manyatta University rd</t>
  </si>
  <si>
    <t>2018-2019</t>
  </si>
  <si>
    <t xml:space="preserve">Construct access road infrastructure</t>
  </si>
  <si>
    <t xml:space="preserve">University terere rd </t>
  </si>
  <si>
    <t xml:space="preserve">Upgrade road to all-weather standard</t>
  </si>
  <si>
    <t>-353392.579E</t>
  </si>
  <si>
    <t xml:space="preserve">Mshegheshenyi kisumu ndogo</t>
  </si>
  <si>
    <t>2025-2026</t>
  </si>
  <si>
    <t xml:space="preserve">Construct rural access road</t>
  </si>
  <si>
    <t xml:space="preserve">Maweni-Kiwalaa rd murramin</t>
  </si>
  <si>
    <t>2019-2020</t>
  </si>
  <si>
    <t xml:space="preserve">Murram surfacing of road</t>
  </si>
  <si>
    <t>-353917.812E</t>
  </si>
  <si>
    <t xml:space="preserve">Maweni road 1</t>
  </si>
  <si>
    <t xml:space="preserve">Construct local access road</t>
  </si>
  <si>
    <t>-353921.508E</t>
  </si>
  <si>
    <t xml:space="preserve">Mshegheshenyi kasolo rd</t>
  </si>
  <si>
    <t xml:space="preserve">Upgrade road infrastructure</t>
  </si>
  <si>
    <t xml:space="preserve">Zuberi road</t>
  </si>
  <si>
    <t xml:space="preserve">Construct community road network</t>
  </si>
  <si>
    <t>-354566.499E</t>
  </si>
  <si>
    <t xml:space="preserve">Nduwini Wairimu road</t>
  </si>
  <si>
    <t xml:space="preserve">Upgrade rural access road</t>
  </si>
  <si>
    <t>-354605.382E</t>
  </si>
  <si>
    <t xml:space="preserve">Njoro Dispensary</t>
  </si>
  <si>
    <t xml:space="preserve">Construct dispensary facility</t>
  </si>
  <si>
    <t xml:space="preserve">Kibao Njoro rd</t>
  </si>
  <si>
    <t xml:space="preserve">Construct access road</t>
  </si>
  <si>
    <t>-355040.215E</t>
  </si>
  <si>
    <t xml:space="preserve">Njoro mboghoni rd</t>
  </si>
  <si>
    <t>2014-2015</t>
  </si>
  <si>
    <t xml:space="preserve">Upgrade rural road infrastructure</t>
  </si>
  <si>
    <t>-3549995.06E</t>
  </si>
  <si>
    <t xml:space="preserve">Njoro Vct Classroom</t>
  </si>
  <si>
    <t xml:space="preserve">Construct VCT classroom facility</t>
  </si>
  <si>
    <t>-355095.87E</t>
  </si>
  <si>
    <t xml:space="preserve">Equiping and gate</t>
  </si>
  <si>
    <t xml:space="preserve">Install equipment and security gate</t>
  </si>
  <si>
    <t xml:space="preserve">Njoro Water project</t>
  </si>
  <si>
    <t>2017-2018</t>
  </si>
  <si>
    <t xml:space="preserve">Develop community water system</t>
  </si>
  <si>
    <t>-354675.564E</t>
  </si>
  <si>
    <t xml:space="preserve">Replacement of water pump at njooro intake</t>
  </si>
  <si>
    <t xml:space="preserve">Replace faulty intake pump</t>
  </si>
  <si>
    <t xml:space="preserve">4New pump,control panel and pressure tank</t>
  </si>
  <si>
    <t xml:space="preserve">Install pump control system</t>
  </si>
  <si>
    <t xml:space="preserve">Mkamenyi maguniani</t>
  </si>
  <si>
    <t>-354612.595E</t>
  </si>
  <si>
    <t xml:space="preserve">Mkamenyi rd murraming</t>
  </si>
  <si>
    <t xml:space="preserve">Vikwatani rd</t>
  </si>
  <si>
    <t>-354611.492E</t>
  </si>
  <si>
    <t xml:space="preserve">Mokoi road stonepitching culverting</t>
  </si>
  <si>
    <t xml:space="preserve">Stone pitching and culvert installation</t>
  </si>
  <si>
    <t>-354193.355E</t>
  </si>
  <si>
    <t xml:space="preserve">Bura ndogo C-Nduwini</t>
  </si>
  <si>
    <t>-354190.38E</t>
  </si>
  <si>
    <t xml:space="preserve">Bura Ndogo B</t>
  </si>
  <si>
    <t xml:space="preserve">Upgrade local road infrastructure</t>
  </si>
  <si>
    <t>-354328.006E</t>
  </si>
  <si>
    <t>Mwachimbi</t>
  </si>
  <si>
    <t xml:space="preserve">Construct community access road</t>
  </si>
  <si>
    <t xml:space="preserve">Sanga raphael rd</t>
  </si>
  <si>
    <t>-354298.093E</t>
  </si>
  <si>
    <t xml:space="preserve">Nduwini Sanga</t>
  </si>
  <si>
    <t xml:space="preserve">Construct connecting road section</t>
  </si>
  <si>
    <t>-353804.147E</t>
  </si>
  <si>
    <t xml:space="preserve">Installation of culverts bomeni</t>
  </si>
  <si>
    <t xml:space="preserve">Install drainage culverts</t>
  </si>
  <si>
    <t>-353648.621E</t>
  </si>
  <si>
    <t xml:space="preserve">Kasolo Mkameno</t>
  </si>
  <si>
    <t>-353344.488E</t>
  </si>
  <si>
    <t xml:space="preserve">Bustani ECDE</t>
  </si>
  <si>
    <t xml:space="preserve">Construct ECDE classrooms</t>
  </si>
  <si>
    <t>-353308.175E</t>
  </si>
  <si>
    <t xml:space="preserve">Bustani borehole</t>
  </si>
  <si>
    <t xml:space="preserve">Drill community borehole</t>
  </si>
  <si>
    <t xml:space="preserve">Safaricom kastrungi</t>
  </si>
  <si>
    <t xml:space="preserve">Construct communication support infrastructure</t>
  </si>
  <si>
    <t>-353468.255E</t>
  </si>
  <si>
    <t xml:space="preserve">Bura ndogo rd</t>
  </si>
  <si>
    <t xml:space="preserve">Upgrade rural road</t>
  </si>
  <si>
    <t xml:space="preserve">Bura Ndogo B borehole</t>
  </si>
  <si>
    <t xml:space="preserve">Bura ndogo B sanitation block</t>
  </si>
  <si>
    <t xml:space="preserve">Construct sanitation facility</t>
  </si>
  <si>
    <t xml:space="preserve">Mama mboga shed</t>
  </si>
  <si>
    <t>2018-19</t>
  </si>
  <si>
    <t xml:space="preserve">Construct market vendor shed</t>
  </si>
  <si>
    <t xml:space="preserve">Satoo hall</t>
  </si>
  <si>
    <t xml:space="preserve">Construct community hall</t>
  </si>
  <si>
    <t xml:space="preserve">Bura Ndogo B car wash</t>
  </si>
  <si>
    <t xml:space="preserve">Construct car wash facility</t>
  </si>
  <si>
    <t xml:space="preserve">Juakali Fencing,renovation of2 alteration works</t>
  </si>
  <si>
    <t xml:space="preserve">Fence and renovate workshops</t>
  </si>
  <si>
    <t>-354238.688E</t>
  </si>
  <si>
    <t xml:space="preserve">Juakali Kastrungi road</t>
  </si>
  <si>
    <t xml:space="preserve">Bura ndogo C borehole</t>
  </si>
  <si>
    <t>-352187.438E</t>
  </si>
  <si>
    <t xml:space="preserve">Bahati Ecde</t>
  </si>
  <si>
    <t>-3529966.765E</t>
  </si>
  <si>
    <t xml:space="preserve">Bahati road</t>
  </si>
  <si>
    <t xml:space="preserve">Challa hotel road</t>
  </si>
  <si>
    <t>-352974.465E</t>
  </si>
  <si>
    <t xml:space="preserve">Chachewa road</t>
  </si>
  <si>
    <t xml:space="preserve">Upgrade local road</t>
  </si>
  <si>
    <t>-353204.57E</t>
  </si>
  <si>
    <t xml:space="preserve">Chachewa feeder rd</t>
  </si>
  <si>
    <t xml:space="preserve">Construct feeder road</t>
  </si>
  <si>
    <t>-353023.499E</t>
  </si>
  <si>
    <t xml:space="preserve">Facelifting taveta county hospital</t>
  </si>
  <si>
    <t xml:space="preserve">Renovate hospital buildings</t>
  </si>
  <si>
    <t>-353071.028E</t>
  </si>
  <si>
    <t xml:space="preserve">Renovation SCHMT office block</t>
  </si>
  <si>
    <t xml:space="preserve">Renovate office block</t>
  </si>
  <si>
    <t>-353080.983E</t>
  </si>
  <si>
    <t xml:space="preserve">Renovation Pharmacy male and female wards</t>
  </si>
  <si>
    <t xml:space="preserve">Renovate pharmacy and wards</t>
  </si>
  <si>
    <t xml:space="preserve">Lab renovation</t>
  </si>
  <si>
    <t xml:space="preserve">Renovate laboratory facility</t>
  </si>
  <si>
    <t>-353134.285E</t>
  </si>
  <si>
    <t xml:space="preserve">Renovation and partition of isolation center</t>
  </si>
  <si>
    <t xml:space="preserve">Renovate and partition isolation unit</t>
  </si>
  <si>
    <t xml:space="preserve">Renovation Maternity block</t>
  </si>
  <si>
    <t xml:space="preserve">Renovate maternity unit</t>
  </si>
  <si>
    <t xml:space="preserve">Taveta Hospital</t>
  </si>
  <si>
    <t>2020-21</t>
  </si>
  <si>
    <t xml:space="preserve">Upgrade hospital infrastructure</t>
  </si>
  <si>
    <t>-353136.033E</t>
  </si>
  <si>
    <t xml:space="preserve">Alteration works renal unit</t>
  </si>
  <si>
    <t xml:space="preserve">Modify renal unit facility</t>
  </si>
  <si>
    <t>-353118.859E</t>
  </si>
  <si>
    <t xml:space="preserve">Renovation works taveta morgue</t>
  </si>
  <si>
    <t xml:space="preserve">Renovate morgue facility</t>
  </si>
  <si>
    <t>Consolation</t>
  </si>
  <si>
    <t xml:space="preserve">Construct community support facility</t>
  </si>
  <si>
    <t>-353156.479E</t>
  </si>
  <si>
    <t>Bay</t>
  </si>
  <si>
    <t xml:space="preserve">Construct hospital service bay</t>
  </si>
  <si>
    <t>-353174.671E</t>
  </si>
  <si>
    <t xml:space="preserve">Free Standing switch board</t>
  </si>
  <si>
    <t xml:space="preserve">Install electrical switchboard system</t>
  </si>
  <si>
    <t xml:space="preserve">Washing machine</t>
  </si>
  <si>
    <t xml:space="preserve">Procure industrial washing machine</t>
  </si>
  <si>
    <t>-35311.699E</t>
  </si>
  <si>
    <t xml:space="preserve">Incenerator machine</t>
  </si>
  <si>
    <t xml:space="preserve">Procure medical waste incinerator</t>
  </si>
  <si>
    <t xml:space="preserve">Accident and Emergency casualty block phase 1</t>
  </si>
  <si>
    <t xml:space="preserve">Construct emergency unit phase one</t>
  </si>
  <si>
    <t xml:space="preserve">Gate installation</t>
  </si>
  <si>
    <t xml:space="preserve">Install security gate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</si>
</sst>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\-#??_)"/>
  </numFmts>
  <fonts count="12">
    <font>
      <sz val="11.000000"/>
      <color theme="1"/>
      <name val="Calibri"/>
      <scheme val="minor"/>
    </font>
    <font>
      <sz val="10.000000"/>
      <name val="Roboto"/>
    </font>
    <font>
      <sz val="11.000000"/>
      <name val="Calibri"/>
    </font>
    <font>
      <sz val="10.000000"/>
      <name val="Calibri"/>
    </font>
    <font>
      <sz val="11.000000"/>
      <name val="Arial"/>
    </font>
    <font>
      <b/>
      <sz val="11.000000"/>
      <name val="Times New Roman"/>
    </font>
    <font>
      <sz val="12.000000"/>
      <name val="Calibri"/>
      <scheme val="minor"/>
    </font>
    <font>
      <sz val="12.000000"/>
      <name val="Arial"/>
    </font>
    <font>
      <sz val="11.000000"/>
      <color theme="1"/>
      <name val="Calibri"/>
    </font>
    <font>
      <sz val="12.000000"/>
      <name val="Calibri"/>
    </font>
    <font>
      <b/>
      <sz val="11.000000"/>
      <color theme="1"/>
      <name val="Arial"/>
    </font>
    <font>
      <sz val="11.000000"/>
      <color theme="1"/>
      <name val="Arial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indexed="26"/>
      </patternFill>
    </fill>
    <fill>
      <patternFill patternType="solid">
        <fgColor indexed="5"/>
        <bgColor indexed="5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  <horizontal style="thin">
        <color theme="4" tint="0.39997558519241921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  <horizontal style="thin">
        <color theme="4" tint="0.39997558519241921"/>
      </horizontal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3" applyNumberFormat="1" applyFont="0" applyFill="0" applyBorder="0"/>
  </cellStyleXfs>
  <cellXfs count="49">
    <xf fontId="0" fillId="0" borderId="0" numFmtId="0" xfId="0"/>
    <xf fontId="1" fillId="3" borderId="0" numFmtId="0" xfId="0" applyFont="1" applyFill="1" applyAlignment="1">
      <alignment horizontal="center" vertical="center"/>
      <protection hidden="0" locked="1"/>
    </xf>
    <xf fontId="2" fillId="3" borderId="0" numFmtId="0" xfId="0" applyFont="1" applyFill="1" applyAlignment="1">
      <alignment horizontal="center" vertical="center" wrapText="1"/>
      <protection hidden="0" locked="1"/>
    </xf>
    <xf fontId="2" fillId="3" borderId="0" numFmtId="0" xfId="0" applyFont="1" applyFill="1" applyAlignment="1">
      <alignment horizontal="center" vertical="center"/>
      <protection hidden="0" locked="1"/>
    </xf>
    <xf fontId="2" fillId="3" borderId="0" numFmtId="164" xfId="0" applyNumberFormat="1" applyFont="1" applyFill="1" applyAlignment="1">
      <alignment horizontal="center" vertical="center" wrapText="1"/>
      <protection hidden="0" locked="1"/>
    </xf>
    <xf fontId="3" fillId="3" borderId="0" numFmtId="0" xfId="0" applyFont="1" applyFill="1" applyAlignment="1">
      <alignment horizontal="center" vertical="center" wrapText="1"/>
      <protection hidden="0" locked="1"/>
    </xf>
    <xf fontId="0" fillId="4" borderId="0" numFmtId="0" xfId="0" applyFill="1"/>
    <xf fontId="1" fillId="4" borderId="0" numFmtId="0" xfId="0" applyFont="1" applyFill="1" applyAlignment="1">
      <alignment vertical="top"/>
      <protection hidden="0" locked="1"/>
    </xf>
    <xf fontId="2" fillId="0" borderId="1" numFmtId="0" xfId="0" applyFont="1" applyBorder="1" applyAlignment="1">
      <alignment wrapText="1"/>
    </xf>
    <xf fontId="4" fillId="0" borderId="0" numFmtId="0" xfId="0" applyFont="1"/>
    <xf fontId="2" fillId="4" borderId="0" numFmtId="0" xfId="0" applyFont="1" applyFill="1" applyAlignment="1">
      <alignment horizontal="center"/>
      <protection hidden="0" locked="1"/>
    </xf>
    <xf fontId="0" fillId="0" borderId="0" numFmtId="0" xfId="0" applyAlignment="1">
      <alignment vertical="top" wrapText="1"/>
    </xf>
    <xf fontId="5" fillId="4" borderId="0" numFmtId="0" xfId="0" applyFont="1" applyFill="1" applyAlignment="1">
      <alignment horizontal="left" vertical="top" wrapText="1"/>
      <protection hidden="0" locked="1"/>
    </xf>
    <xf fontId="2" fillId="4" borderId="0" numFmtId="0" xfId="0" applyFont="1" applyFill="1" applyAlignment="1">
      <alignment horizontal="center" vertical="top" wrapText="1"/>
      <protection hidden="0" locked="1"/>
    </xf>
    <xf fontId="6" fillId="0" borderId="1" numFmtId="0" xfId="0" applyFont="1" applyBorder="1" applyAlignment="1">
      <alignment vertical="center" wrapText="1"/>
    </xf>
    <xf fontId="7" fillId="4" borderId="1" numFmtId="0" xfId="0" applyFont="1" applyFill="1" applyBorder="1" applyAlignment="1">
      <alignment horizontal="left" wrapText="1"/>
    </xf>
    <xf fontId="4" fillId="0" borderId="1" numFmtId="0" xfId="0" applyFont="1" applyBorder="1"/>
    <xf fontId="2" fillId="4" borderId="1" numFmtId="0" xfId="0" applyFont="1" applyFill="1" applyBorder="1"/>
    <xf fontId="8" fillId="4" borderId="1" numFmtId="0" xfId="0" applyFont="1" applyFill="1" applyBorder="1" applyAlignment="1">
      <alignment horizontal="left" wrapText="1"/>
    </xf>
    <xf fontId="2" fillId="0" borderId="2" numFmtId="0" xfId="4" applyFont="1" applyBorder="1"/>
    <xf fontId="4" fillId="0" borderId="2" numFmtId="0" xfId="0" applyFont="1" applyBorder="1"/>
    <xf fontId="2" fillId="0" borderId="0" numFmtId="0" xfId="0" applyFont="1"/>
    <xf fontId="6" fillId="0" borderId="2" numFmtId="0" xfId="0" applyFont="1" applyBorder="1" applyAlignment="1">
      <alignment vertical="center" wrapText="1"/>
    </xf>
    <xf fontId="2" fillId="4" borderId="3" numFmtId="0" xfId="0" applyFont="1" applyFill="1" applyBorder="1" applyAlignment="1">
      <alignment horizontal="left"/>
    </xf>
    <xf fontId="2" fillId="0" borderId="0" numFmtId="0" xfId="0" applyFont="1"/>
    <xf fontId="4" fillId="0" borderId="0" numFmtId="0" xfId="0" applyFont="1"/>
    <xf fontId="2" fillId="0" borderId="2" numFmtId="0" xfId="0" applyFont="1" applyBorder="1" applyAlignment="1">
      <alignment wrapText="1"/>
    </xf>
    <xf fontId="0" fillId="0" borderId="2" numFmtId="0" xfId="0" applyBorder="1" applyAlignment="1">
      <alignment vertical="top" wrapText="1"/>
    </xf>
    <xf fontId="0" fillId="0" borderId="3" numFmtId="0" xfId="0" applyBorder="1"/>
    <xf fontId="6" fillId="0" borderId="0" numFmtId="0" xfId="0" applyFont="1" applyAlignment="1">
      <alignment vertical="center" wrapText="1"/>
    </xf>
    <xf fontId="2" fillId="3" borderId="0" numFmtId="0" xfId="0" applyFont="1" applyFill="1" applyAlignment="1">
      <alignment horizontal="center" vertical="top" wrapText="1"/>
      <protection hidden="0" locked="1"/>
    </xf>
    <xf fontId="2" fillId="0" borderId="0" numFmtId="0" xfId="0" applyFont="1" applyAlignment="1">
      <alignment wrapText="1"/>
    </xf>
    <xf fontId="9" fillId="3" borderId="0" numFmtId="0" xfId="0" applyFont="1" applyFill="1" applyAlignment="1">
      <alignment horizontal="center" vertical="top"/>
      <protection hidden="0" locked="1"/>
    </xf>
    <xf fontId="4" fillId="0" borderId="4" numFmtId="0" xfId="0" applyFont="1" applyBorder="1"/>
    <xf fontId="2" fillId="4" borderId="4" numFmtId="0" xfId="0" applyFont="1" applyFill="1" applyBorder="1" applyAlignment="1">
      <alignment horizontal="center"/>
      <protection hidden="0" locked="1"/>
    </xf>
    <xf fontId="0" fillId="0" borderId="1" numFmtId="0" xfId="0" applyBorder="1" applyAlignment="1">
      <alignment vertical="top" wrapText="1"/>
    </xf>
    <xf fontId="5" fillId="4" borderId="5" numFmtId="0" xfId="0" applyFont="1" applyFill="1" applyBorder="1" applyAlignment="1">
      <alignment horizontal="left" vertical="top" wrapText="1"/>
      <protection hidden="0" locked="1"/>
    </xf>
    <xf fontId="0" fillId="0" borderId="1" numFmtId="0" xfId="0" applyBorder="1"/>
    <xf fontId="0" fillId="0" borderId="0" numFmtId="0" xfId="0">
      <protection hidden="0" locked="1"/>
    </xf>
    <xf fontId="2" fillId="4" borderId="4" numFmtId="0" xfId="0" applyFont="1" applyFill="1" applyBorder="1" applyAlignment="1">
      <alignment horizontal="center" vertical="top" wrapText="1"/>
      <protection hidden="0" locked="1"/>
    </xf>
    <xf fontId="2" fillId="3" borderId="0" numFmtId="0" xfId="0" applyFont="1" applyFill="1" applyAlignment="1">
      <alignment horizontal="center"/>
      <protection hidden="0" locked="1"/>
    </xf>
    <xf fontId="1" fillId="3" borderId="0" numFmtId="0" xfId="0" applyFont="1" applyFill="1" applyAlignment="1">
      <alignment vertical="top"/>
      <protection hidden="0" locked="1"/>
    </xf>
    <xf fontId="9" fillId="3" borderId="0" numFmtId="49" xfId="0" applyNumberFormat="1" applyFont="1" applyFill="1" applyAlignment="1">
      <alignment horizontal="center" vertical="top"/>
      <protection hidden="0" locked="1"/>
    </xf>
    <xf fontId="10" fillId="0" borderId="1" numFmtId="0" xfId="0" applyFont="1" applyBorder="1" applyAlignment="1">
      <alignment horizontal="left" wrapText="1"/>
    </xf>
    <xf fontId="2" fillId="0" borderId="1" numFmtId="0" xfId="0" applyFont="1" applyBorder="1" applyAlignment="1">
      <alignment horizontal="left"/>
    </xf>
    <xf fontId="4" fillId="0" borderId="1" numFmtId="0" xfId="0" applyFont="1" applyBorder="1" applyAlignment="1">
      <alignment horizontal="left" wrapText="1"/>
    </xf>
    <xf fontId="11" fillId="0" borderId="1" numFmtId="0" xfId="0" applyFont="1" applyBorder="1"/>
    <xf fontId="0" fillId="0" borderId="0" numFmtId="0" xfId="0"/>
    <xf fontId="0" fillId="0" borderId="0" numFmtId="0" xfId="0">
      <protection hidden="0" locked="1"/>
    </xf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A1" activeCellId="0" sqref="A1"/>
    </sheetView>
  </sheetViews>
  <sheetFormatPr defaultRowHeight="14.25"/>
  <cols>
    <col customWidth="1" min="1" max="1" width="30.57421875"/>
    <col customWidth="1" min="2" max="2" width="37.00390625"/>
    <col customWidth="1" min="3" max="3" width="23.57421875"/>
    <col customWidth="1" min="4" max="4" width="33.28125"/>
    <col customWidth="1" min="5" max="5" width="28.421875"/>
    <col customWidth="1" min="6" max="6" width="24.421875"/>
    <col customWidth="1" min="7" max="7" width="25.421875"/>
    <col customWidth="1" min="8" max="8" width="24.00390625"/>
    <col customWidth="1" min="9" max="9" width="25.140625"/>
    <col customWidth="1" min="10" max="10" width="26.140625"/>
    <col customWidth="1" min="11" max="11" width="25.7109375"/>
    <col customWidth="1" min="12" max="12" width="25.8515625"/>
    <col customWidth="1" min="13" max="13" width="21.7109375"/>
    <col customWidth="1" min="14" max="14" width="29.00390625"/>
    <col customWidth="1" min="15" max="15" width="23.421875"/>
    <col customWidth="1" min="16" max="17" width="30.140625"/>
    <col customWidth="1" min="18" max="18" width="32.28125"/>
    <col customWidth="1" min="19" max="19" width="22.28125"/>
    <col customWidth="1" min="20" max="20" width="28.8515625"/>
    <col customWidth="1" min="21" max="21" width="24.140625"/>
    <col customWidth="1" min="22" max="22" width="27.00390625"/>
    <col customWidth="1" min="23" max="23" width="20.00390625"/>
    <col customWidth="1" min="24" max="24" width="28.28125"/>
    <col customWidth="1" min="25" max="25" width="27.8515625"/>
    <col customWidth="1" min="26" max="26" width="24.7109375"/>
    <col customWidth="1" min="27" max="27" width="22.7109375"/>
    <col customWidth="1" min="28" max="28" width="32.7109375"/>
    <col customWidth="1" min="29" max="29" width="25.00390625"/>
    <col customWidth="1" min="30" max="30" width="24.57421875"/>
  </cols>
  <sheetData>
    <row r="1" ht="28.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="6" customFormat="1" ht="42.75">
      <c r="A2" s="7" t="str">
        <f>"006/137/"&amp;TEXT(ROW()-1,"00")&amp;"/"&amp;MID(TEXT(D2,"0000-0000"),3,2)&amp;"-"&amp;MID(TEXT(D2,"0000-0000"),8,2)</f>
        <v>006/137/01/15-16</v>
      </c>
      <c r="B2" s="8" t="s">
        <v>30</v>
      </c>
      <c r="C2" s="9" t="s">
        <v>31</v>
      </c>
      <c r="D2" s="8" t="s">
        <v>32</v>
      </c>
      <c r="E2" s="10" t="s">
        <v>33</v>
      </c>
      <c r="F2" s="10">
        <v>0</v>
      </c>
      <c r="G2" s="11" t="s">
        <v>34</v>
      </c>
      <c r="H2" s="12" t="s">
        <v>35</v>
      </c>
      <c r="I2" s="13"/>
      <c r="J2" s="13"/>
      <c r="K2" s="13"/>
      <c r="L2" s="13" t="s">
        <v>36</v>
      </c>
      <c r="M2" s="10"/>
      <c r="N2" s="7"/>
      <c r="O2" s="7"/>
      <c r="P2" s="13">
        <v>0</v>
      </c>
      <c r="Q2" s="10">
        <v>100</v>
      </c>
      <c r="R2" s="10">
        <v>100</v>
      </c>
      <c r="S2" s="14" t="s">
        <v>37</v>
      </c>
      <c r="T2" s="13"/>
      <c r="U2" s="13"/>
      <c r="V2" s="8" t="s">
        <v>38</v>
      </c>
      <c r="W2" s="15" t="s">
        <v>39</v>
      </c>
      <c r="X2" s="15">
        <v>9623943</v>
      </c>
      <c r="Y2" s="13"/>
      <c r="Z2" s="12" t="s">
        <v>35</v>
      </c>
      <c r="AA2" s="13"/>
      <c r="AB2" s="13"/>
      <c r="AC2" s="8" t="s">
        <v>38</v>
      </c>
      <c r="AD2" s="7" t="s">
        <v>40</v>
      </c>
      <c r="AE2" s="6"/>
      <c r="AF2" s="6"/>
      <c r="AG2" s="6"/>
      <c r="AH2" s="6"/>
      <c r="AI2" s="6"/>
      <c r="AJ2" s="6"/>
      <c r="AK2" s="6"/>
      <c r="AL2" s="6"/>
      <c r="AM2" s="6"/>
    </row>
    <row r="3" s="6" customFormat="1" ht="42.75">
      <c r="A3" s="7" t="str">
        <f>"006/137/"&amp;TEXT(ROW()-1,"00")&amp;"/"&amp;MID(TEXT(D3,"0000-0000"),3,2)&amp;"-"&amp;MID(TEXT(D3,"0000-0000"),8,2)</f>
        <v>006/137/02/13-14</v>
      </c>
      <c r="B3" s="8" t="s">
        <v>41</v>
      </c>
      <c r="C3" s="16" t="s">
        <v>31</v>
      </c>
      <c r="D3" s="8" t="s">
        <v>42</v>
      </c>
      <c r="E3" s="10" t="s">
        <v>33</v>
      </c>
      <c r="F3" s="10">
        <v>0</v>
      </c>
      <c r="G3" s="11" t="s">
        <v>43</v>
      </c>
      <c r="H3" s="12" t="s">
        <v>35</v>
      </c>
      <c r="I3" s="13"/>
      <c r="J3" s="13"/>
      <c r="K3" s="13"/>
      <c r="L3" s="13" t="s">
        <v>36</v>
      </c>
      <c r="M3" s="10"/>
      <c r="N3" s="7"/>
      <c r="O3" s="7"/>
      <c r="P3" s="13">
        <v>0</v>
      </c>
      <c r="Q3" s="10">
        <v>100</v>
      </c>
      <c r="R3" s="10">
        <v>100</v>
      </c>
      <c r="S3" s="14" t="s">
        <v>44</v>
      </c>
      <c r="T3" s="13"/>
      <c r="U3" s="13"/>
      <c r="V3" s="8" t="s">
        <v>38</v>
      </c>
      <c r="W3" s="17" t="s">
        <v>45</v>
      </c>
      <c r="X3" s="18">
        <v>9624815</v>
      </c>
      <c r="Y3" s="13"/>
      <c r="Z3" s="12" t="s">
        <v>35</v>
      </c>
      <c r="AA3" s="13"/>
      <c r="AB3" s="13"/>
      <c r="AC3" s="8" t="s">
        <v>38</v>
      </c>
      <c r="AD3" s="7" t="s">
        <v>40</v>
      </c>
    </row>
    <row r="4" s="6" customFormat="1" ht="42.75">
      <c r="A4" s="7" t="str">
        <f>"006/137/"&amp;TEXT(ROW()-1,"00")&amp;"/"&amp;MID(TEXT(D4,"0000-0000"),3,2)&amp;"-"&amp;MID(TEXT(D4,"0000-0000"),8,2)</f>
        <v>006/137/03/15-16</v>
      </c>
      <c r="B4" s="19" t="s">
        <v>46</v>
      </c>
      <c r="C4" s="20" t="s">
        <v>31</v>
      </c>
      <c r="D4" s="21" t="s">
        <v>32</v>
      </c>
      <c r="E4" s="10" t="s">
        <v>33</v>
      </c>
      <c r="F4" s="10">
        <v>0</v>
      </c>
      <c r="G4" s="11" t="s">
        <v>47</v>
      </c>
      <c r="H4" s="12" t="s">
        <v>35</v>
      </c>
      <c r="I4" s="13"/>
      <c r="J4" s="13"/>
      <c r="K4" s="13"/>
      <c r="L4" s="13" t="s">
        <v>36</v>
      </c>
      <c r="M4" s="10"/>
      <c r="N4" s="7"/>
      <c r="O4" s="7"/>
      <c r="P4" s="13">
        <v>0</v>
      </c>
      <c r="Q4" s="10">
        <v>100</v>
      </c>
      <c r="R4" s="10">
        <v>100</v>
      </c>
      <c r="S4" s="22" t="s">
        <v>48</v>
      </c>
      <c r="T4" s="13"/>
      <c r="U4" s="13"/>
      <c r="V4" s="8" t="s">
        <v>38</v>
      </c>
      <c r="W4" s="23" t="s">
        <v>49</v>
      </c>
      <c r="X4" s="23">
        <v>9624705</v>
      </c>
      <c r="Y4" s="13"/>
      <c r="Z4" s="12" t="s">
        <v>35</v>
      </c>
      <c r="AA4" s="13"/>
      <c r="AB4" s="13"/>
      <c r="AC4" s="8" t="s">
        <v>38</v>
      </c>
      <c r="AD4" s="7" t="s">
        <v>40</v>
      </c>
    </row>
    <row r="5" ht="42.75">
      <c r="A5" s="7" t="str">
        <f>"006/137/"&amp;TEXT(ROW()-1,"00")&amp;"/"&amp;MID(TEXT(D5,"0000-0000"),3,2)&amp;"-"&amp;MID(TEXT(D5,"0000-0000"),8,2)</f>
        <v>006/137/04/20-21</v>
      </c>
      <c r="B5" s="24" t="s">
        <v>50</v>
      </c>
      <c r="C5" s="25" t="s">
        <v>31</v>
      </c>
      <c r="D5" s="26" t="s">
        <v>51</v>
      </c>
      <c r="E5" s="10" t="s">
        <v>33</v>
      </c>
      <c r="F5" s="10">
        <v>0</v>
      </c>
      <c r="G5" s="27" t="s">
        <v>34</v>
      </c>
      <c r="H5" s="12" t="s">
        <v>35</v>
      </c>
      <c r="I5" s="28"/>
      <c r="L5" s="13" t="s">
        <v>36</v>
      </c>
      <c r="M5" s="28"/>
      <c r="N5" s="28"/>
      <c r="O5" s="28"/>
      <c r="P5" s="13">
        <v>0</v>
      </c>
      <c r="Q5" s="10">
        <v>100</v>
      </c>
      <c r="R5" s="10">
        <v>100</v>
      </c>
      <c r="S5" s="29" t="s">
        <v>52</v>
      </c>
      <c r="T5" s="30"/>
      <c r="U5" s="30"/>
      <c r="V5" s="31" t="s">
        <v>38</v>
      </c>
      <c r="W5" s="32" t="s">
        <v>53</v>
      </c>
      <c r="X5" s="32">
        <v>9624446</v>
      </c>
      <c r="Y5" s="30"/>
      <c r="Z5" s="12" t="s">
        <v>35</v>
      </c>
      <c r="AA5" s="30"/>
      <c r="AB5" s="30"/>
      <c r="AC5" s="31" t="s">
        <v>38</v>
      </c>
      <c r="AD5" s="7" t="s">
        <v>40</v>
      </c>
    </row>
    <row r="6" ht="42.75">
      <c r="A6" s="7" t="str">
        <f>"006/137/"&amp;TEXT(ROW()-1,"00")&amp;"/"&amp;MID(TEXT(D6,"0000-0000"),3,2)&amp;"-"&amp;MID(TEXT(D6,"0000-0000"),8,2)</f>
        <v>006/137/05/24-25</v>
      </c>
      <c r="B6" s="24" t="s">
        <v>50</v>
      </c>
      <c r="C6" s="33" t="s">
        <v>31</v>
      </c>
      <c r="D6" s="8" t="s">
        <v>54</v>
      </c>
      <c r="E6" s="10" t="s">
        <v>33</v>
      </c>
      <c r="F6" s="34">
        <v>0</v>
      </c>
      <c r="G6" s="35" t="s">
        <v>34</v>
      </c>
      <c r="H6" s="36" t="s">
        <v>35</v>
      </c>
      <c r="I6" s="37"/>
      <c r="J6" s="38"/>
      <c r="K6" s="38"/>
      <c r="L6" s="39" t="s">
        <v>36</v>
      </c>
      <c r="M6" s="37"/>
      <c r="N6" s="37"/>
      <c r="O6" s="37"/>
      <c r="P6" s="13">
        <v>0</v>
      </c>
      <c r="Q6" s="10">
        <v>100</v>
      </c>
      <c r="R6" s="10">
        <v>100</v>
      </c>
      <c r="S6" s="29" t="s">
        <v>52</v>
      </c>
      <c r="T6" s="30"/>
      <c r="U6" s="30"/>
      <c r="V6" s="31" t="s">
        <v>38</v>
      </c>
      <c r="W6" s="32" t="s">
        <v>53</v>
      </c>
      <c r="X6" s="32">
        <v>9624446</v>
      </c>
      <c r="Y6" s="30"/>
      <c r="Z6" s="12" t="s">
        <v>35</v>
      </c>
      <c r="AA6" s="30"/>
      <c r="AB6" s="30"/>
      <c r="AC6" s="31" t="s">
        <v>38</v>
      </c>
      <c r="AD6" s="7" t="s">
        <v>40</v>
      </c>
    </row>
    <row r="7" ht="33">
      <c r="A7" s="7" t="str">
        <f>"006/137/"&amp;TEXT(ROW()-1,"00")&amp;"/"&amp;MID(TEXT(D7,"0000-0000"),3,2)&amp;"-"&amp;MID(TEXT(D7,"0000-0000"),8,2)</f>
        <v>006/137/06/20-21</v>
      </c>
      <c r="B7" s="31" t="s">
        <v>55</v>
      </c>
      <c r="C7" s="9" t="s">
        <v>31</v>
      </c>
      <c r="D7" s="21" t="s">
        <v>51</v>
      </c>
      <c r="E7" s="10" t="s">
        <v>33</v>
      </c>
      <c r="F7" s="10">
        <v>0</v>
      </c>
      <c r="G7" s="30"/>
      <c r="H7" s="12" t="s">
        <v>35</v>
      </c>
      <c r="I7" s="30"/>
      <c r="J7" s="30"/>
      <c r="K7" s="30"/>
      <c r="L7" s="13" t="s">
        <v>36</v>
      </c>
      <c r="M7" s="40"/>
      <c r="N7" s="41"/>
      <c r="O7" s="41"/>
      <c r="P7" s="13">
        <v>0</v>
      </c>
      <c r="Q7" s="10">
        <v>100</v>
      </c>
      <c r="R7" s="10">
        <v>100</v>
      </c>
      <c r="S7" s="29" t="s">
        <v>56</v>
      </c>
      <c r="T7" s="30"/>
      <c r="U7" s="30"/>
      <c r="V7" s="31" t="s">
        <v>38</v>
      </c>
      <c r="W7" s="32" t="s">
        <v>57</v>
      </c>
      <c r="X7" s="32">
        <v>9624184</v>
      </c>
      <c r="Y7" s="30"/>
      <c r="Z7" s="12" t="s">
        <v>35</v>
      </c>
      <c r="AA7" s="30"/>
      <c r="AB7" s="30"/>
      <c r="AC7" s="31" t="s">
        <v>38</v>
      </c>
      <c r="AD7" s="7" t="s">
        <v>40</v>
      </c>
    </row>
    <row r="8" ht="33">
      <c r="A8" s="7" t="str">
        <f>"006/137/"&amp;TEXT(ROW()-1,"00")&amp;"/"&amp;MID(TEXT(D8,"0000-0000"),3,2)&amp;"-"&amp;MID(TEXT(D8,"0000-0000"),8,2)</f>
        <v>006/137/07/24-25</v>
      </c>
      <c r="B8" s="31" t="s">
        <v>55</v>
      </c>
      <c r="C8" s="9" t="s">
        <v>31</v>
      </c>
      <c r="D8" s="21" t="s">
        <v>54</v>
      </c>
      <c r="E8" s="10" t="s">
        <v>33</v>
      </c>
      <c r="F8" s="10">
        <v>0</v>
      </c>
      <c r="G8" s="30"/>
      <c r="H8" s="12" t="s">
        <v>35</v>
      </c>
      <c r="I8" s="30"/>
      <c r="J8" s="30"/>
      <c r="K8" s="30"/>
      <c r="L8" s="13" t="s">
        <v>36</v>
      </c>
      <c r="M8" s="40"/>
      <c r="N8" s="41"/>
      <c r="O8" s="41"/>
      <c r="P8" s="13">
        <v>0</v>
      </c>
      <c r="Q8" s="10">
        <v>100</v>
      </c>
      <c r="R8" s="10">
        <v>100</v>
      </c>
      <c r="S8" s="29" t="s">
        <v>56</v>
      </c>
      <c r="T8" s="30"/>
      <c r="U8" s="30"/>
      <c r="V8" s="31" t="s">
        <v>38</v>
      </c>
      <c r="W8" s="32" t="s">
        <v>57</v>
      </c>
      <c r="X8" s="32">
        <v>9624184</v>
      </c>
      <c r="Y8" s="30"/>
      <c r="Z8" s="12" t="s">
        <v>35</v>
      </c>
      <c r="AA8" s="30"/>
      <c r="AB8" s="30"/>
      <c r="AC8" s="31" t="s">
        <v>38</v>
      </c>
      <c r="AD8" s="7" t="s">
        <v>40</v>
      </c>
    </row>
    <row r="9" ht="33">
      <c r="A9" s="7" t="str">
        <f>"006/137/"&amp;TEXT(ROW()-1,"00")&amp;"/"&amp;MID(TEXT(D9,"0000-0000"),3,2)&amp;"-"&amp;MID(TEXT(D9,"0000-0000"),8,2)</f>
        <v>006/137/08/16-17</v>
      </c>
      <c r="B9" s="31" t="s">
        <v>58</v>
      </c>
      <c r="C9" s="9" t="s">
        <v>31</v>
      </c>
      <c r="D9" s="21" t="s">
        <v>59</v>
      </c>
      <c r="E9" s="10" t="s">
        <v>33</v>
      </c>
      <c r="F9" s="10">
        <v>0</v>
      </c>
      <c r="G9" s="30"/>
      <c r="H9" s="12" t="s">
        <v>35</v>
      </c>
      <c r="I9" s="30"/>
      <c r="J9" s="30"/>
      <c r="K9" s="30"/>
      <c r="L9" s="13" t="s">
        <v>36</v>
      </c>
      <c r="M9" s="40"/>
      <c r="N9" s="41"/>
      <c r="O9" s="41"/>
      <c r="P9" s="13">
        <v>0</v>
      </c>
      <c r="Q9" s="10">
        <v>100</v>
      </c>
      <c r="R9" s="10">
        <v>100</v>
      </c>
      <c r="S9" s="29" t="s">
        <v>60</v>
      </c>
      <c r="T9" s="30"/>
      <c r="U9" s="30"/>
      <c r="V9" s="31" t="s">
        <v>38</v>
      </c>
      <c r="W9" s="42" t="s">
        <v>39</v>
      </c>
      <c r="X9" s="42" t="s">
        <v>61</v>
      </c>
      <c r="Y9" s="30"/>
      <c r="Z9" s="12" t="s">
        <v>35</v>
      </c>
      <c r="AA9" s="30"/>
      <c r="AB9" s="30"/>
      <c r="AC9" s="31" t="s">
        <v>38</v>
      </c>
      <c r="AD9" s="7" t="s">
        <v>40</v>
      </c>
    </row>
    <row r="10" ht="42.75">
      <c r="A10" s="7" t="str">
        <f>"006/137/"&amp;TEXT(ROW()-1,"00")&amp;"/"&amp;MID(TEXT(D10,"0000-0000"),3,2)&amp;"-"&amp;MID(TEXT(D10,"0000-0000"),8,2)</f>
        <v>006/137/09/20-21</v>
      </c>
      <c r="B10" s="31" t="s">
        <v>62</v>
      </c>
      <c r="C10" s="9" t="s">
        <v>31</v>
      </c>
      <c r="D10" s="21" t="s">
        <v>51</v>
      </c>
      <c r="E10" s="10" t="s">
        <v>33</v>
      </c>
      <c r="F10" s="10">
        <v>0</v>
      </c>
      <c r="G10" s="30"/>
      <c r="H10" s="12" t="s">
        <v>35</v>
      </c>
      <c r="I10" s="30"/>
      <c r="J10" s="30"/>
      <c r="K10" s="30"/>
      <c r="L10" s="13" t="s">
        <v>36</v>
      </c>
      <c r="M10" s="40"/>
      <c r="N10" s="41"/>
      <c r="O10" s="41"/>
      <c r="P10" s="13">
        <v>0</v>
      </c>
      <c r="Q10" s="10">
        <v>100</v>
      </c>
      <c r="R10" s="10">
        <v>100</v>
      </c>
      <c r="S10" s="29" t="s">
        <v>63</v>
      </c>
      <c r="T10" s="30"/>
      <c r="U10" s="30"/>
      <c r="V10" s="31" t="s">
        <v>38</v>
      </c>
      <c r="W10" s="32" t="s">
        <v>64</v>
      </c>
      <c r="X10" s="32">
        <v>9623360</v>
      </c>
      <c r="Y10" s="30"/>
      <c r="Z10" s="12" t="s">
        <v>35</v>
      </c>
      <c r="AA10" s="30"/>
      <c r="AB10" s="30"/>
      <c r="AC10" s="31" t="s">
        <v>38</v>
      </c>
      <c r="AD10" s="7" t="s">
        <v>40</v>
      </c>
    </row>
    <row r="11" ht="42.75">
      <c r="A11" s="7" t="str">
        <f>"006/137/"&amp;TEXT(ROW()-1,"00")&amp;"/"&amp;MID(TEXT(D11,"0000-0000"),3,2)&amp;"-"&amp;MID(TEXT(D11,"0000-0000"),8,2)</f>
        <v>006/137/10/24-25</v>
      </c>
      <c r="B11" s="31" t="s">
        <v>62</v>
      </c>
      <c r="C11" s="9" t="s">
        <v>31</v>
      </c>
      <c r="D11" s="21" t="s">
        <v>54</v>
      </c>
      <c r="E11" s="10" t="s">
        <v>33</v>
      </c>
      <c r="F11" s="10">
        <v>0</v>
      </c>
      <c r="G11" s="30"/>
      <c r="H11" s="12" t="s">
        <v>35</v>
      </c>
      <c r="I11" s="30"/>
      <c r="J11" s="30"/>
      <c r="K11" s="30"/>
      <c r="L11" s="13" t="s">
        <v>36</v>
      </c>
      <c r="M11" s="40"/>
      <c r="N11" s="41"/>
      <c r="O11" s="41"/>
      <c r="P11" s="13">
        <v>0</v>
      </c>
      <c r="Q11" s="10">
        <v>100</v>
      </c>
      <c r="R11" s="10">
        <v>100</v>
      </c>
      <c r="S11" s="29" t="s">
        <v>63</v>
      </c>
      <c r="T11" s="30"/>
      <c r="U11" s="30"/>
      <c r="V11" s="31" t="s">
        <v>38</v>
      </c>
      <c r="W11" s="32" t="s">
        <v>64</v>
      </c>
      <c r="X11" s="32">
        <v>9623360</v>
      </c>
      <c r="Y11" s="30"/>
      <c r="Z11" s="12" t="s">
        <v>35</v>
      </c>
      <c r="AA11" s="30"/>
      <c r="AB11" s="30"/>
      <c r="AC11" s="31" t="s">
        <v>38</v>
      </c>
      <c r="AD11" s="7" t="s">
        <v>40</v>
      </c>
    </row>
    <row r="12" ht="42.75">
      <c r="A12" s="7" t="str">
        <f>"006/137/"&amp;TEXT(ROW()-1,"00")&amp;"/"&amp;MID(TEXT(D12,"0000-0000"),3,2)&amp;"-"&amp;MID(TEXT(D12,"0000-0000"),8,2)</f>
        <v>006/137/11/23-24</v>
      </c>
      <c r="B12" s="31" t="s">
        <v>65</v>
      </c>
      <c r="C12" s="9" t="s">
        <v>31</v>
      </c>
      <c r="D12" s="21" t="s">
        <v>66</v>
      </c>
      <c r="E12" s="10" t="s">
        <v>33</v>
      </c>
      <c r="F12" s="10">
        <v>0</v>
      </c>
      <c r="G12" s="30"/>
      <c r="H12" s="12" t="s">
        <v>35</v>
      </c>
      <c r="I12" s="30"/>
      <c r="J12" s="30"/>
      <c r="K12" s="30"/>
      <c r="L12" s="13" t="s">
        <v>36</v>
      </c>
      <c r="M12" s="40"/>
      <c r="N12" s="41"/>
      <c r="O12" s="41"/>
      <c r="P12" s="13">
        <v>0</v>
      </c>
      <c r="Q12" s="10">
        <v>100</v>
      </c>
      <c r="R12" s="10">
        <v>100</v>
      </c>
      <c r="S12" s="29" t="s">
        <v>67</v>
      </c>
      <c r="T12" s="30"/>
      <c r="U12" s="30"/>
      <c r="V12" s="31" t="s">
        <v>38</v>
      </c>
      <c r="W12" s="32" t="s">
        <v>68</v>
      </c>
      <c r="X12" s="32">
        <v>9623249</v>
      </c>
      <c r="Y12" s="30"/>
      <c r="Z12" s="12" t="s">
        <v>35</v>
      </c>
      <c r="AA12" s="30"/>
      <c r="AB12" s="30"/>
      <c r="AC12" s="31" t="s">
        <v>38</v>
      </c>
      <c r="AD12" s="7" t="s">
        <v>40</v>
      </c>
    </row>
    <row r="13" ht="33">
      <c r="A13" s="7" t="str">
        <f>"006/137/"&amp;TEXT(ROW()-1,"00")&amp;"/"&amp;MID(TEXT(D13,"0000-0000"),3,2)&amp;"-"&amp;MID(TEXT(D13,"0000-0000"),8,2)</f>
        <v>006/137/12/00-24</v>
      </c>
      <c r="B13" s="24" t="s">
        <v>69</v>
      </c>
      <c r="C13" s="25" t="s">
        <v>31</v>
      </c>
      <c r="D13" s="24">
        <v>2024</v>
      </c>
      <c r="E13" s="10" t="s">
        <v>33</v>
      </c>
      <c r="F13" s="10">
        <v>0</v>
      </c>
      <c r="H13" s="12" t="s">
        <v>35</v>
      </c>
      <c r="L13" s="13" t="s">
        <v>36</v>
      </c>
      <c r="P13" s="13">
        <v>0</v>
      </c>
      <c r="Q13" s="10">
        <v>100</v>
      </c>
      <c r="R13" s="10">
        <v>100</v>
      </c>
      <c r="S13" s="29" t="s">
        <v>70</v>
      </c>
      <c r="V13" s="24" t="s">
        <v>38</v>
      </c>
      <c r="W13" t="s">
        <v>71</v>
      </c>
      <c r="X13">
        <v>9623192</v>
      </c>
      <c r="Z13" s="12" t="s">
        <v>35</v>
      </c>
      <c r="AC13" s="24" t="s">
        <v>38</v>
      </c>
      <c r="AD13" s="7" t="s">
        <v>40</v>
      </c>
    </row>
    <row r="14" ht="33">
      <c r="A14" s="7" t="str">
        <f>"006/137/"&amp;TEXT(ROW()-1,"00")&amp;"/"&amp;MID(TEXT(D14,"0000-0000"),3,2)&amp;"-"&amp;MID(TEXT(D14,"0000-0000"),8,2)</f>
        <v>006/137/13/21-22</v>
      </c>
      <c r="B14" s="8" t="s">
        <v>72</v>
      </c>
      <c r="C14" s="25" t="s">
        <v>31</v>
      </c>
      <c r="D14" s="24" t="s">
        <v>73</v>
      </c>
      <c r="E14" s="10" t="s">
        <v>33</v>
      </c>
      <c r="F14" s="10">
        <v>0</v>
      </c>
      <c r="G14" s="43"/>
      <c r="H14" s="12" t="s">
        <v>35</v>
      </c>
      <c r="I14" s="44"/>
      <c r="J14" s="44"/>
      <c r="L14" s="13" t="s">
        <v>36</v>
      </c>
      <c r="M14" s="45"/>
      <c r="N14" s="45"/>
      <c r="O14" s="45"/>
      <c r="P14" s="13">
        <v>0</v>
      </c>
      <c r="Q14" s="10">
        <v>100</v>
      </c>
      <c r="R14" s="10">
        <v>100</v>
      </c>
      <c r="S14" s="29" t="s">
        <v>74</v>
      </c>
      <c r="T14" s="46"/>
      <c r="U14" s="46"/>
      <c r="V14" s="24" t="s">
        <v>38</v>
      </c>
      <c r="W14" t="s">
        <v>75</v>
      </c>
      <c r="X14">
        <v>9623191</v>
      </c>
      <c r="Z14" s="12" t="s">
        <v>35</v>
      </c>
      <c r="AC14" s="24" t="s">
        <v>38</v>
      </c>
      <c r="AD14" s="7" t="s">
        <v>40</v>
      </c>
    </row>
    <row r="15" ht="33">
      <c r="A15" s="7" t="str">
        <f>"006/137/"&amp;TEXT(ROW()-1,"00")&amp;"/"&amp;MID(TEXT(D15,"0000-0000"),3,2)&amp;"-"&amp;MID(TEXT(D15,"0000-0000"),8,2)</f>
        <v>006/137/14/21-22</v>
      </c>
      <c r="B15" s="24" t="s">
        <v>76</v>
      </c>
      <c r="C15" s="25" t="s">
        <v>31</v>
      </c>
      <c r="D15" s="24" t="s">
        <v>73</v>
      </c>
      <c r="E15" s="10" t="s">
        <v>33</v>
      </c>
      <c r="F15" s="10">
        <v>0</v>
      </c>
      <c r="H15" s="12" t="s">
        <v>35</v>
      </c>
      <c r="L15" s="13" t="s">
        <v>36</v>
      </c>
      <c r="P15" s="13">
        <v>0</v>
      </c>
      <c r="Q15" s="10">
        <v>100</v>
      </c>
      <c r="R15" s="10">
        <v>100</v>
      </c>
      <c r="S15" s="29" t="s">
        <v>77</v>
      </c>
      <c r="V15" s="24" t="s">
        <v>38</v>
      </c>
      <c r="W15" t="s">
        <v>75</v>
      </c>
      <c r="X15">
        <v>9623191</v>
      </c>
      <c r="Z15" s="12" t="s">
        <v>35</v>
      </c>
      <c r="AC15" s="24" t="s">
        <v>38</v>
      </c>
      <c r="AD15" s="7" t="s">
        <v>40</v>
      </c>
    </row>
    <row r="16" ht="33">
      <c r="A16" s="7" t="str">
        <f>"006/137/"&amp;TEXT(ROW()-1,"00")&amp;"/"&amp;MID(TEXT(D16,"0000-0000"),3,2)&amp;"-"&amp;MID(TEXT(D16,"0000-0000"),8,2)</f>
        <v>006/137/15/21-22</v>
      </c>
      <c r="B16" s="24" t="s">
        <v>78</v>
      </c>
      <c r="C16" s="25" t="s">
        <v>31</v>
      </c>
      <c r="D16" s="24" t="s">
        <v>73</v>
      </c>
      <c r="E16" s="10" t="s">
        <v>33</v>
      </c>
      <c r="F16" s="10">
        <v>0</v>
      </c>
      <c r="H16" s="12" t="s">
        <v>35</v>
      </c>
      <c r="L16" s="13" t="s">
        <v>36</v>
      </c>
      <c r="P16" s="13">
        <v>0</v>
      </c>
      <c r="Q16" s="10">
        <v>100</v>
      </c>
      <c r="R16" s="10">
        <v>100</v>
      </c>
      <c r="S16" s="29" t="s">
        <v>79</v>
      </c>
      <c r="V16" s="24" t="s">
        <v>38</v>
      </c>
      <c r="W16" t="s">
        <v>80</v>
      </c>
      <c r="X16">
        <v>9622975</v>
      </c>
      <c r="Z16" s="12" t="s">
        <v>35</v>
      </c>
      <c r="AC16" s="24" t="s">
        <v>38</v>
      </c>
      <c r="AD16" s="7" t="s">
        <v>40</v>
      </c>
    </row>
    <row r="17" ht="33">
      <c r="A17" s="7" t="str">
        <f>"006/137/"&amp;TEXT(ROW()-1,"00")&amp;"/"&amp;MID(TEXT(D17,"0000-0000"),3,2)&amp;"-"&amp;MID(TEXT(D17,"0000-0000"),8,2)</f>
        <v>006/137/16/18-19</v>
      </c>
      <c r="B17" s="24" t="s">
        <v>81</v>
      </c>
      <c r="C17" s="25" t="s">
        <v>31</v>
      </c>
      <c r="D17" s="24" t="s">
        <v>82</v>
      </c>
      <c r="E17" s="10" t="s">
        <v>33</v>
      </c>
      <c r="F17" s="10">
        <v>0</v>
      </c>
      <c r="H17" s="12" t="s">
        <v>35</v>
      </c>
      <c r="L17" s="13" t="s">
        <v>36</v>
      </c>
      <c r="P17" s="13">
        <v>0</v>
      </c>
      <c r="Q17" s="10">
        <v>100</v>
      </c>
      <c r="R17" s="10">
        <v>100</v>
      </c>
      <c r="S17" s="29" t="s">
        <v>83</v>
      </c>
      <c r="V17" s="24" t="s">
        <v>38</v>
      </c>
      <c r="W17" t="s">
        <v>80</v>
      </c>
      <c r="X17">
        <v>9622975</v>
      </c>
      <c r="Z17" s="12" t="s">
        <v>35</v>
      </c>
      <c r="AC17" s="24" t="s">
        <v>38</v>
      </c>
      <c r="AD17" s="7" t="s">
        <v>40</v>
      </c>
    </row>
    <row r="18" ht="33">
      <c r="A18" s="7" t="str">
        <f>"006/137/"&amp;TEXT(ROW()-1,"00")&amp;"/"&amp;MID(TEXT(D18,"0000-0000"),3,2)&amp;"-"&amp;MID(TEXT(D18,"0000-0000"),8,2)</f>
        <v>006/137/17/20-21</v>
      </c>
      <c r="B18" s="24" t="s">
        <v>84</v>
      </c>
      <c r="C18" s="25" t="s">
        <v>31</v>
      </c>
      <c r="D18" s="24" t="s">
        <v>51</v>
      </c>
      <c r="E18" s="10" t="s">
        <v>33</v>
      </c>
      <c r="F18" s="10">
        <v>0</v>
      </c>
      <c r="H18" s="12" t="s">
        <v>35</v>
      </c>
      <c r="L18" s="13" t="s">
        <v>36</v>
      </c>
      <c r="P18" s="13">
        <v>0</v>
      </c>
      <c r="Q18" s="10">
        <v>100</v>
      </c>
      <c r="R18" s="10">
        <v>100</v>
      </c>
      <c r="S18" s="29" t="s">
        <v>85</v>
      </c>
      <c r="V18" s="24" t="s">
        <v>38</v>
      </c>
      <c r="W18" t="s">
        <v>86</v>
      </c>
      <c r="X18">
        <v>9622456</v>
      </c>
      <c r="Z18" s="12" t="s">
        <v>35</v>
      </c>
      <c r="AC18" s="24" t="s">
        <v>38</v>
      </c>
      <c r="AD18" s="7" t="s">
        <v>40</v>
      </c>
    </row>
    <row r="19" ht="33">
      <c r="A19" s="7" t="str">
        <f>"006/137/"&amp;TEXT(ROW()-1,"00")&amp;"/"&amp;MID(TEXT(D19,"0000-0000"),3,2)&amp;"-"&amp;MID(TEXT(D19,"0000-0000"),8,2)</f>
        <v>006/137/18/24-25</v>
      </c>
      <c r="B19" s="24" t="s">
        <v>84</v>
      </c>
      <c r="C19" s="25" t="s">
        <v>31</v>
      </c>
      <c r="D19" s="24" t="s">
        <v>54</v>
      </c>
      <c r="E19" s="10" t="s">
        <v>33</v>
      </c>
      <c r="F19" s="10">
        <v>0</v>
      </c>
      <c r="G19" s="38"/>
      <c r="H19" s="12" t="s">
        <v>35</v>
      </c>
      <c r="I19" s="38"/>
      <c r="J19" s="38"/>
      <c r="K19" s="38"/>
      <c r="L19" s="13" t="s">
        <v>36</v>
      </c>
      <c r="M19" s="38"/>
      <c r="N19" s="38"/>
      <c r="O19" s="38"/>
      <c r="P19" s="13">
        <v>0</v>
      </c>
      <c r="Q19" s="10">
        <v>100</v>
      </c>
      <c r="R19" s="10">
        <v>100</v>
      </c>
      <c r="S19" s="29" t="s">
        <v>85</v>
      </c>
      <c r="T19" s="38"/>
      <c r="U19" s="38"/>
      <c r="V19" s="24" t="s">
        <v>38</v>
      </c>
      <c r="W19" t="s">
        <v>86</v>
      </c>
      <c r="X19">
        <v>9622456</v>
      </c>
      <c r="Y19" s="38"/>
      <c r="Z19" s="12" t="s">
        <v>35</v>
      </c>
      <c r="AA19" s="38"/>
      <c r="AB19" s="38"/>
      <c r="AC19" s="24" t="s">
        <v>38</v>
      </c>
      <c r="AD19" s="7" t="s">
        <v>40</v>
      </c>
    </row>
    <row r="20" ht="33">
      <c r="A20" s="7" t="str">
        <f>"006/137/"&amp;TEXT(ROW()-1,"00")&amp;"/"&amp;MID(TEXT(D20,"0000-0000"),3,2)&amp;"-"&amp;MID(TEXT(D20,"0000-0000"),8,2)</f>
        <v>006/137/19/25-26</v>
      </c>
      <c r="B20" s="24" t="s">
        <v>87</v>
      </c>
      <c r="C20" s="25" t="s">
        <v>31</v>
      </c>
      <c r="D20" s="24" t="s">
        <v>88</v>
      </c>
      <c r="E20" s="10" t="s">
        <v>33</v>
      </c>
      <c r="F20" s="10">
        <v>0</v>
      </c>
      <c r="H20" s="12" t="s">
        <v>35</v>
      </c>
      <c r="L20" s="13" t="s">
        <v>36</v>
      </c>
      <c r="P20" s="13">
        <v>0</v>
      </c>
      <c r="Q20" s="10">
        <v>100</v>
      </c>
      <c r="R20" s="10">
        <v>100</v>
      </c>
      <c r="S20" s="29" t="s">
        <v>89</v>
      </c>
      <c r="V20" s="24" t="s">
        <v>38</v>
      </c>
      <c r="W20" t="s">
        <v>86</v>
      </c>
      <c r="X20">
        <v>9622456</v>
      </c>
      <c r="Z20" s="12" t="s">
        <v>35</v>
      </c>
      <c r="AC20" s="24" t="s">
        <v>38</v>
      </c>
      <c r="AD20" s="7" t="s">
        <v>40</v>
      </c>
    </row>
    <row r="21" ht="33">
      <c r="A21" s="7" t="str">
        <f>"006/137/"&amp;TEXT(ROW()-1,"00")&amp;"/"&amp;MID(TEXT(D21,"0000-0000"),3,2)&amp;"-"&amp;MID(TEXT(D21,"0000-0000"),8,2)</f>
        <v>006/137/20/19-20</v>
      </c>
      <c r="B21" s="24" t="s">
        <v>90</v>
      </c>
      <c r="C21" s="25" t="s">
        <v>31</v>
      </c>
      <c r="D21" s="24" t="s">
        <v>91</v>
      </c>
      <c r="E21" s="10" t="s">
        <v>33</v>
      </c>
      <c r="F21" s="10">
        <v>0</v>
      </c>
      <c r="H21" s="12" t="s">
        <v>35</v>
      </c>
      <c r="L21" s="13" t="s">
        <v>36</v>
      </c>
      <c r="P21" s="13">
        <v>0</v>
      </c>
      <c r="Q21" s="10">
        <v>100</v>
      </c>
      <c r="R21" s="10">
        <v>100</v>
      </c>
      <c r="S21" s="29" t="s">
        <v>92</v>
      </c>
      <c r="V21" s="24" t="s">
        <v>38</v>
      </c>
      <c r="W21" t="s">
        <v>93</v>
      </c>
      <c r="X21">
        <v>9621602</v>
      </c>
      <c r="Z21" s="12" t="s">
        <v>35</v>
      </c>
      <c r="AC21" s="24" t="s">
        <v>38</v>
      </c>
      <c r="AD21" s="7" t="s">
        <v>40</v>
      </c>
    </row>
    <row r="22" ht="33">
      <c r="A22" s="7" t="str">
        <f>"006/137/"&amp;TEXT(ROW()-1,"00")&amp;"/"&amp;MID(TEXT(D22,"0000-0000"),3,2)&amp;"-"&amp;MID(TEXT(D22,"0000-0000"),8,2)</f>
        <v>006/137/21/19-20</v>
      </c>
      <c r="B22" s="24" t="s">
        <v>94</v>
      </c>
      <c r="C22" s="25" t="s">
        <v>31</v>
      </c>
      <c r="D22" s="24" t="s">
        <v>91</v>
      </c>
      <c r="E22" s="10" t="s">
        <v>33</v>
      </c>
      <c r="F22" s="10">
        <v>0</v>
      </c>
      <c r="H22" s="12" t="s">
        <v>35</v>
      </c>
      <c r="L22" s="13" t="s">
        <v>36</v>
      </c>
      <c r="P22" s="13">
        <v>0</v>
      </c>
      <c r="Q22" s="10">
        <v>100</v>
      </c>
      <c r="R22" s="10">
        <v>100</v>
      </c>
      <c r="S22" s="29" t="s">
        <v>95</v>
      </c>
      <c r="V22" s="24" t="s">
        <v>38</v>
      </c>
      <c r="W22" t="s">
        <v>96</v>
      </c>
      <c r="X22">
        <v>9623190</v>
      </c>
      <c r="Z22" s="12" t="s">
        <v>35</v>
      </c>
      <c r="AC22" s="24" t="s">
        <v>38</v>
      </c>
      <c r="AD22" s="7" t="s">
        <v>40</v>
      </c>
    </row>
    <row r="23" ht="33">
      <c r="A23" s="7" t="str">
        <f>"006/137/"&amp;TEXT(ROW()-1,"00")&amp;"/"&amp;MID(TEXT(D23,"0000-0000"),3,2)&amp;"-"&amp;MID(TEXT(D23,"0000-0000"),8,2)</f>
        <v>006/137/22/20-21</v>
      </c>
      <c r="B23" s="24" t="s">
        <v>97</v>
      </c>
      <c r="C23" s="25" t="s">
        <v>31</v>
      </c>
      <c r="D23" s="24" t="s">
        <v>51</v>
      </c>
      <c r="E23" s="10" t="s">
        <v>33</v>
      </c>
      <c r="F23" s="10">
        <v>0</v>
      </c>
      <c r="H23" s="12" t="s">
        <v>35</v>
      </c>
      <c r="L23" s="13" t="s">
        <v>36</v>
      </c>
      <c r="P23" s="13">
        <v>0</v>
      </c>
      <c r="Q23" s="10">
        <v>100</v>
      </c>
      <c r="R23" s="10">
        <v>100</v>
      </c>
      <c r="S23" s="29" t="s">
        <v>98</v>
      </c>
      <c r="V23" s="24" t="s">
        <v>38</v>
      </c>
      <c r="W23" t="s">
        <v>96</v>
      </c>
      <c r="X23">
        <v>9623190</v>
      </c>
      <c r="Z23" s="12" t="s">
        <v>35</v>
      </c>
      <c r="AC23" s="24" t="s">
        <v>38</v>
      </c>
      <c r="AD23" s="7" t="s">
        <v>40</v>
      </c>
    </row>
    <row r="24" ht="33">
      <c r="A24" s="7" t="str">
        <f>"006/137/"&amp;TEXT(ROW()-1,"00")&amp;"/"&amp;MID(TEXT(D24,"0000-0000"),3,2)&amp;"-"&amp;MID(TEXT(D24,"0000-0000"),8,2)</f>
        <v>006/137/23/24-25</v>
      </c>
      <c r="B24" s="24" t="s">
        <v>97</v>
      </c>
      <c r="C24" s="25" t="s">
        <v>31</v>
      </c>
      <c r="D24" s="24" t="s">
        <v>54</v>
      </c>
      <c r="E24" s="10" t="s">
        <v>33</v>
      </c>
      <c r="F24" s="10">
        <v>0</v>
      </c>
      <c r="G24" s="38"/>
      <c r="H24" s="12" t="s">
        <v>35</v>
      </c>
      <c r="I24" s="38"/>
      <c r="J24" s="38"/>
      <c r="K24" s="38"/>
      <c r="L24" s="13" t="s">
        <v>36</v>
      </c>
      <c r="M24" s="38"/>
      <c r="N24" s="38"/>
      <c r="O24" s="38"/>
      <c r="P24" s="13">
        <v>0</v>
      </c>
      <c r="Q24" s="10">
        <v>100</v>
      </c>
      <c r="R24" s="10">
        <v>100</v>
      </c>
      <c r="S24" s="29" t="s">
        <v>98</v>
      </c>
      <c r="T24" s="38"/>
      <c r="U24" s="38"/>
      <c r="V24" s="24" t="s">
        <v>38</v>
      </c>
      <c r="W24" t="s">
        <v>96</v>
      </c>
      <c r="X24">
        <v>9623190</v>
      </c>
      <c r="Y24" s="38"/>
      <c r="Z24" s="12" t="s">
        <v>35</v>
      </c>
      <c r="AA24" s="38"/>
      <c r="AB24" s="38"/>
      <c r="AC24" s="24" t="s">
        <v>38</v>
      </c>
      <c r="AD24" s="7" t="s">
        <v>40</v>
      </c>
    </row>
    <row r="25" ht="33">
      <c r="A25" s="7" t="str">
        <f>"006/137/"&amp;TEXT(ROW()-1,"00")&amp;"/"&amp;MID(TEXT(D25,"0000-0000"),3,2)&amp;"-"&amp;MID(TEXT(D25,"0000-0000"),8,2)</f>
        <v>006/137/24/20-21</v>
      </c>
      <c r="B25" s="24" t="s">
        <v>99</v>
      </c>
      <c r="C25" s="25" t="s">
        <v>31</v>
      </c>
      <c r="D25" s="24" t="s">
        <v>51</v>
      </c>
      <c r="E25" s="10" t="s">
        <v>33</v>
      </c>
      <c r="F25" s="10">
        <v>0</v>
      </c>
      <c r="H25" s="12" t="s">
        <v>35</v>
      </c>
      <c r="L25" s="13" t="s">
        <v>36</v>
      </c>
      <c r="P25" s="13">
        <v>0</v>
      </c>
      <c r="Q25" s="10">
        <v>100</v>
      </c>
      <c r="R25" s="10">
        <v>100</v>
      </c>
      <c r="S25" s="29" t="s">
        <v>100</v>
      </c>
      <c r="V25" s="24" t="s">
        <v>38</v>
      </c>
      <c r="W25" t="s">
        <v>101</v>
      </c>
      <c r="X25">
        <v>9623186</v>
      </c>
      <c r="Z25" s="12" t="s">
        <v>35</v>
      </c>
      <c r="AC25" s="24" t="s">
        <v>38</v>
      </c>
      <c r="AD25" s="7" t="s">
        <v>40</v>
      </c>
    </row>
    <row r="26" ht="33">
      <c r="A26" s="7" t="str">
        <f>"006/137/"&amp;TEXT(ROW()-1,"00")&amp;"/"&amp;MID(TEXT(D26,"0000-0000"),3,2)&amp;"-"&amp;MID(TEXT(D26,"0000-0000"),8,2)</f>
        <v>006/137/25/24-25</v>
      </c>
      <c r="B26" s="24" t="s">
        <v>102</v>
      </c>
      <c r="C26" s="25" t="s">
        <v>31</v>
      </c>
      <c r="D26" s="24" t="s">
        <v>54</v>
      </c>
      <c r="E26" s="10" t="s">
        <v>33</v>
      </c>
      <c r="F26" s="10">
        <v>0</v>
      </c>
      <c r="H26" s="12" t="s">
        <v>35</v>
      </c>
      <c r="L26" s="13" t="s">
        <v>36</v>
      </c>
      <c r="P26" s="13">
        <v>0</v>
      </c>
      <c r="Q26" s="10">
        <v>100</v>
      </c>
      <c r="R26" s="10">
        <v>100</v>
      </c>
      <c r="S26" s="29" t="s">
        <v>103</v>
      </c>
      <c r="V26" s="24" t="s">
        <v>38</v>
      </c>
      <c r="W26" t="s">
        <v>104</v>
      </c>
      <c r="X26">
        <v>9623043</v>
      </c>
      <c r="Z26" s="12" t="s">
        <v>35</v>
      </c>
      <c r="AC26" s="24" t="s">
        <v>38</v>
      </c>
      <c r="AD26" s="7" t="s">
        <v>40</v>
      </c>
    </row>
    <row r="27" ht="33">
      <c r="A27" s="7" t="str">
        <f>"006/137/"&amp;TEXT(ROW()-1,"00")&amp;"/"&amp;MID(TEXT(D27,"0000-0000"),3,2)&amp;"-"&amp;MID(TEXT(D27,"0000-0000"),8,2)</f>
        <v>006/137/26/20-21</v>
      </c>
      <c r="B27" s="24" t="s">
        <v>105</v>
      </c>
      <c r="C27" s="25" t="s">
        <v>31</v>
      </c>
      <c r="D27" s="24" t="s">
        <v>51</v>
      </c>
      <c r="E27" s="10" t="s">
        <v>33</v>
      </c>
      <c r="F27" s="10">
        <v>0</v>
      </c>
      <c r="H27" s="12" t="s">
        <v>35</v>
      </c>
      <c r="L27" s="13" t="s">
        <v>36</v>
      </c>
      <c r="P27" s="13">
        <v>0</v>
      </c>
      <c r="Q27" s="10">
        <v>100</v>
      </c>
      <c r="R27" s="10">
        <v>100</v>
      </c>
      <c r="S27" s="29" t="s">
        <v>106</v>
      </c>
      <c r="V27" s="24" t="s">
        <v>38</v>
      </c>
      <c r="W27" t="s">
        <v>104</v>
      </c>
      <c r="X27">
        <v>9623043</v>
      </c>
      <c r="Z27" s="12" t="s">
        <v>35</v>
      </c>
      <c r="AC27" s="24" t="s">
        <v>38</v>
      </c>
      <c r="AD27" s="7" t="s">
        <v>40</v>
      </c>
    </row>
    <row r="28" ht="16.5">
      <c r="A28" s="7" t="str">
        <f>"006/137/"&amp;TEXT(ROW()-1,"00")&amp;"/"&amp;MID(TEXT(D28,"0000-0000"),3,2)&amp;"-"&amp;MID(TEXT(D28,"0000-0000"),8,2)</f>
        <v>006/137/27/20-21</v>
      </c>
      <c r="B28" s="24" t="s">
        <v>107</v>
      </c>
      <c r="C28" s="25" t="s">
        <v>31</v>
      </c>
      <c r="D28" s="24" t="s">
        <v>51</v>
      </c>
      <c r="E28" s="10" t="s">
        <v>33</v>
      </c>
      <c r="F28" s="10">
        <v>0</v>
      </c>
      <c r="H28" s="12" t="s">
        <v>35</v>
      </c>
      <c r="L28" s="13" t="s">
        <v>36</v>
      </c>
      <c r="P28" s="13">
        <v>0</v>
      </c>
      <c r="Q28" s="10">
        <v>100</v>
      </c>
      <c r="R28" s="10">
        <v>100</v>
      </c>
      <c r="S28" s="29" t="s">
        <v>108</v>
      </c>
      <c r="V28" s="24" t="s">
        <v>38</v>
      </c>
      <c r="W28" t="s">
        <v>109</v>
      </c>
      <c r="X28">
        <v>9622527</v>
      </c>
      <c r="Z28" s="12" t="s">
        <v>35</v>
      </c>
      <c r="AC28" s="24" t="s">
        <v>38</v>
      </c>
      <c r="AD28" s="7" t="s">
        <v>40</v>
      </c>
    </row>
    <row r="29" ht="16.5">
      <c r="A29" s="7" t="str">
        <f>"006/137/"&amp;TEXT(ROW()-1,"00")&amp;"/"&amp;MID(TEXT(D29,"0000-0000"),3,2)&amp;"-"&amp;MID(TEXT(D29,"0000-0000"),8,2)</f>
        <v>006/137/28/24-25</v>
      </c>
      <c r="B29" s="24" t="s">
        <v>107</v>
      </c>
      <c r="C29" s="25" t="s">
        <v>31</v>
      </c>
      <c r="D29" s="24" t="s">
        <v>54</v>
      </c>
      <c r="E29" s="10" t="s">
        <v>33</v>
      </c>
      <c r="F29" s="10">
        <v>0</v>
      </c>
      <c r="G29" s="38"/>
      <c r="H29" s="12" t="s">
        <v>35</v>
      </c>
      <c r="I29" s="38"/>
      <c r="J29" s="38"/>
      <c r="K29" s="38"/>
      <c r="L29" s="13" t="s">
        <v>36</v>
      </c>
      <c r="M29" s="38"/>
      <c r="N29" s="38"/>
      <c r="O29" s="38"/>
      <c r="P29" s="13">
        <v>0</v>
      </c>
      <c r="Q29" s="10">
        <v>100</v>
      </c>
      <c r="R29" s="10">
        <v>100</v>
      </c>
      <c r="S29" s="29" t="s">
        <v>108</v>
      </c>
      <c r="T29" s="38"/>
      <c r="U29" s="38"/>
      <c r="V29" s="24" t="s">
        <v>38</v>
      </c>
      <c r="W29" s="47" t="s">
        <v>109</v>
      </c>
      <c r="X29" s="47">
        <v>9622527</v>
      </c>
      <c r="Y29" s="38"/>
      <c r="Z29" s="12" t="s">
        <v>35</v>
      </c>
      <c r="AA29" s="38"/>
      <c r="AB29" s="38"/>
      <c r="AC29" s="24" t="s">
        <v>38</v>
      </c>
      <c r="AD29" s="7" t="s">
        <v>40</v>
      </c>
    </row>
    <row r="30" ht="33">
      <c r="A30" s="7" t="str">
        <f>"006/137/"&amp;TEXT(ROW()-1,"00")&amp;"/"&amp;MID(TEXT(D30,"0000-0000"),3,2)&amp;"-"&amp;MID(TEXT(D30,"0000-0000"),8,2)</f>
        <v>006/137/29/14-15</v>
      </c>
      <c r="B30" s="24" t="s">
        <v>110</v>
      </c>
      <c r="C30" s="25" t="s">
        <v>31</v>
      </c>
      <c r="D30" s="24" t="s">
        <v>111</v>
      </c>
      <c r="E30" s="10" t="s">
        <v>33</v>
      </c>
      <c r="F30" s="10">
        <v>0</v>
      </c>
      <c r="H30" s="12" t="s">
        <v>35</v>
      </c>
      <c r="L30" s="13" t="s">
        <v>36</v>
      </c>
      <c r="P30" s="13">
        <v>0</v>
      </c>
      <c r="Q30" s="10">
        <v>100</v>
      </c>
      <c r="R30" s="10">
        <v>100</v>
      </c>
      <c r="S30" s="29" t="s">
        <v>112</v>
      </c>
      <c r="V30" s="24" t="s">
        <v>38</v>
      </c>
      <c r="W30" t="s">
        <v>113</v>
      </c>
      <c r="X30">
        <v>9622503</v>
      </c>
      <c r="Z30" s="12" t="s">
        <v>35</v>
      </c>
      <c r="AC30" s="24" t="s">
        <v>38</v>
      </c>
      <c r="AD30" s="7" t="s">
        <v>40</v>
      </c>
    </row>
    <row r="31" ht="33">
      <c r="A31" s="7" t="str">
        <f>"006/137/"&amp;TEXT(ROW()-1,"00")&amp;"/"&amp;MID(TEXT(D31,"0000-0000"),3,2)&amp;"-"&amp;MID(TEXT(D31,"0000-0000"),8,2)</f>
        <v>006/137/30/20-21</v>
      </c>
      <c r="B31" s="24" t="s">
        <v>114</v>
      </c>
      <c r="C31" s="25" t="s">
        <v>31</v>
      </c>
      <c r="D31" s="24" t="s">
        <v>51</v>
      </c>
      <c r="E31" s="10" t="s">
        <v>33</v>
      </c>
      <c r="F31" s="10">
        <v>0</v>
      </c>
      <c r="H31" s="12" t="s">
        <v>35</v>
      </c>
      <c r="L31" s="13" t="s">
        <v>36</v>
      </c>
      <c r="P31" s="13">
        <v>0</v>
      </c>
      <c r="Q31" s="10">
        <v>100</v>
      </c>
      <c r="R31" s="10">
        <v>100</v>
      </c>
      <c r="S31" s="29" t="s">
        <v>115</v>
      </c>
      <c r="V31" s="24" t="s">
        <v>38</v>
      </c>
      <c r="W31" t="s">
        <v>116</v>
      </c>
      <c r="X31">
        <v>9622999</v>
      </c>
      <c r="Z31" s="12" t="s">
        <v>35</v>
      </c>
      <c r="AC31" s="24" t="s">
        <v>38</v>
      </c>
      <c r="AD31" s="7" t="s">
        <v>40</v>
      </c>
    </row>
    <row r="32" ht="33">
      <c r="A32" s="7" t="str">
        <f>"006/137/"&amp;TEXT(ROW()-1,"00")&amp;"/"&amp;MID(TEXT(D32,"0000-0000"),3,2)&amp;"-"&amp;MID(TEXT(D32,"0000-0000"),8,2)</f>
        <v>006/137/31/20-21</v>
      </c>
      <c r="B32" s="24" t="s">
        <v>117</v>
      </c>
      <c r="C32" s="25" t="s">
        <v>31</v>
      </c>
      <c r="D32" s="24" t="s">
        <v>51</v>
      </c>
      <c r="E32" s="10" t="s">
        <v>33</v>
      </c>
      <c r="F32" s="10">
        <v>0</v>
      </c>
      <c r="H32" s="12" t="s">
        <v>35</v>
      </c>
      <c r="L32" s="13" t="s">
        <v>36</v>
      </c>
      <c r="P32" s="13">
        <v>0</v>
      </c>
      <c r="Q32" s="10">
        <v>100</v>
      </c>
      <c r="R32" s="10">
        <v>100</v>
      </c>
      <c r="S32" s="29" t="s">
        <v>118</v>
      </c>
      <c r="V32" s="24" t="s">
        <v>38</v>
      </c>
      <c r="W32" t="s">
        <v>116</v>
      </c>
      <c r="X32">
        <v>9622999</v>
      </c>
      <c r="Z32" s="12" t="s">
        <v>35</v>
      </c>
      <c r="AC32" s="24" t="s">
        <v>38</v>
      </c>
      <c r="AD32" s="7" t="s">
        <v>40</v>
      </c>
    </row>
    <row r="33" ht="33">
      <c r="A33" s="7" t="str">
        <f>"006/137/"&amp;TEXT(ROW()-1,"00")&amp;"/"&amp;MID(TEXT(D33,"0000-0000"),3,2)&amp;"-"&amp;MID(TEXT(D33,"0000-0000"),8,2)</f>
        <v>006/137/32/24-25</v>
      </c>
      <c r="B33" s="24" t="s">
        <v>117</v>
      </c>
      <c r="C33" s="25" t="s">
        <v>31</v>
      </c>
      <c r="D33" s="24" t="s">
        <v>54</v>
      </c>
      <c r="E33" s="10" t="s">
        <v>33</v>
      </c>
      <c r="F33" s="10">
        <v>0</v>
      </c>
      <c r="G33" s="38"/>
      <c r="H33" s="12" t="s">
        <v>35</v>
      </c>
      <c r="I33" s="38"/>
      <c r="J33" s="38"/>
      <c r="K33" s="38"/>
      <c r="L33" s="13" t="s">
        <v>36</v>
      </c>
      <c r="M33" s="38"/>
      <c r="N33" s="38"/>
      <c r="O33" s="38"/>
      <c r="P33" s="13">
        <v>0</v>
      </c>
      <c r="Q33" s="10">
        <v>100</v>
      </c>
      <c r="R33" s="10">
        <v>100</v>
      </c>
      <c r="S33" s="29" t="s">
        <v>118</v>
      </c>
      <c r="T33" s="38"/>
      <c r="U33" s="38"/>
      <c r="V33" s="24" t="s">
        <v>38</v>
      </c>
      <c r="W33" s="47" t="s">
        <v>116</v>
      </c>
      <c r="X33" s="47">
        <v>9622999</v>
      </c>
      <c r="Y33" s="38"/>
      <c r="Z33" s="12" t="s">
        <v>35</v>
      </c>
      <c r="AA33" s="38"/>
      <c r="AB33" s="38"/>
      <c r="AC33" s="24" t="s">
        <v>38</v>
      </c>
      <c r="AD33" s="7" t="s">
        <v>40</v>
      </c>
    </row>
    <row r="34" ht="33">
      <c r="A34" s="7" t="str">
        <f>"006/137/"&amp;TEXT(ROW()-1,"00")&amp;"/"&amp;MID(TEXT(D34,"0000-0000"),3,2)&amp;"-"&amp;MID(TEXT(D34,"0000-0000"),8,2)</f>
        <v>006/137/33/17-18</v>
      </c>
      <c r="B34" s="24" t="s">
        <v>119</v>
      </c>
      <c r="C34" s="25" t="s">
        <v>31</v>
      </c>
      <c r="D34" s="24" t="s">
        <v>120</v>
      </c>
      <c r="E34" s="10" t="s">
        <v>33</v>
      </c>
      <c r="F34" s="10">
        <v>0</v>
      </c>
      <c r="H34" s="12" t="s">
        <v>35</v>
      </c>
      <c r="L34" s="13" t="s">
        <v>36</v>
      </c>
      <c r="P34" s="13">
        <v>0</v>
      </c>
      <c r="Q34" s="10">
        <v>100</v>
      </c>
      <c r="R34" s="10">
        <v>100</v>
      </c>
      <c r="S34" s="29" t="s">
        <v>121</v>
      </c>
      <c r="V34" s="24" t="s">
        <v>38</v>
      </c>
      <c r="W34" t="s">
        <v>122</v>
      </c>
      <c r="X34">
        <v>9623915</v>
      </c>
      <c r="Z34" s="12" t="s">
        <v>35</v>
      </c>
      <c r="AC34" s="24" t="s">
        <v>38</v>
      </c>
      <c r="AD34" s="7" t="s">
        <v>40</v>
      </c>
    </row>
    <row r="35" ht="33">
      <c r="A35" s="7" t="str">
        <f>"006/137/"&amp;TEXT(ROW()-1,"00")&amp;"/"&amp;MID(TEXT(D35,"0000-0000"),3,2)&amp;"-"&amp;MID(TEXT(D35,"0000-0000"),8,2)</f>
        <v>006/137/34/14-15</v>
      </c>
      <c r="B35" s="24" t="s">
        <v>123</v>
      </c>
      <c r="C35" s="25" t="s">
        <v>31</v>
      </c>
      <c r="D35" s="24" t="s">
        <v>111</v>
      </c>
      <c r="E35" s="10" t="s">
        <v>33</v>
      </c>
      <c r="F35" s="10">
        <v>0</v>
      </c>
      <c r="H35" s="12" t="s">
        <v>35</v>
      </c>
      <c r="L35" s="13" t="s">
        <v>36</v>
      </c>
      <c r="P35" s="13">
        <v>0</v>
      </c>
      <c r="Q35" s="10">
        <v>100</v>
      </c>
      <c r="R35" s="10">
        <v>100</v>
      </c>
      <c r="S35" s="29" t="s">
        <v>124</v>
      </c>
      <c r="V35" s="24" t="s">
        <v>38</v>
      </c>
      <c r="W35" t="s">
        <v>122</v>
      </c>
      <c r="X35">
        <v>9623915</v>
      </c>
      <c r="Z35" s="12" t="s">
        <v>35</v>
      </c>
      <c r="AC35" s="24" t="s">
        <v>38</v>
      </c>
      <c r="AD35" s="7" t="s">
        <v>40</v>
      </c>
    </row>
    <row r="36" ht="33">
      <c r="A36" s="7" t="str">
        <f>"006/137/"&amp;TEXT(ROW()-1,"00")&amp;"/"&amp;MID(TEXT(D36,"0000-0000"),3,2)&amp;"-"&amp;MID(TEXT(D36,"0000-0000"),8,2)</f>
        <v>006/137/35/20-21</v>
      </c>
      <c r="B36" s="24" t="s">
        <v>125</v>
      </c>
      <c r="C36" s="25" t="s">
        <v>31</v>
      </c>
      <c r="D36" s="24" t="s">
        <v>51</v>
      </c>
      <c r="E36" s="10" t="s">
        <v>33</v>
      </c>
      <c r="F36" s="10">
        <v>0</v>
      </c>
      <c r="H36" s="12" t="s">
        <v>35</v>
      </c>
      <c r="L36" s="13" t="s">
        <v>36</v>
      </c>
      <c r="P36" s="13">
        <v>0</v>
      </c>
      <c r="Q36" s="10">
        <v>100</v>
      </c>
      <c r="R36" s="10">
        <v>100</v>
      </c>
      <c r="S36" s="29" t="s">
        <v>126</v>
      </c>
      <c r="V36" s="24" t="s">
        <v>38</v>
      </c>
      <c r="W36" t="s">
        <v>122</v>
      </c>
      <c r="X36">
        <v>9623915</v>
      </c>
      <c r="Z36" s="12" t="s">
        <v>35</v>
      </c>
      <c r="AC36" s="24" t="s">
        <v>38</v>
      </c>
      <c r="AD36" s="7" t="s">
        <v>40</v>
      </c>
    </row>
    <row r="37" ht="33">
      <c r="A37" s="7" t="str">
        <f>"006/137/"&amp;TEXT(ROW()-1,"00")&amp;"/"&amp;MID(TEXT(D37,"0000-0000"),3,2)&amp;"-"&amp;MID(TEXT(D37,"0000-0000"),8,2)</f>
        <v>006/137/36/24-25</v>
      </c>
      <c r="B37" s="24" t="s">
        <v>125</v>
      </c>
      <c r="C37" s="25" t="s">
        <v>31</v>
      </c>
      <c r="D37" s="24" t="s">
        <v>54</v>
      </c>
      <c r="E37" s="10" t="s">
        <v>33</v>
      </c>
      <c r="F37" s="10">
        <v>0</v>
      </c>
      <c r="G37" s="38"/>
      <c r="H37" s="12" t="s">
        <v>35</v>
      </c>
      <c r="I37" s="38"/>
      <c r="J37" s="38"/>
      <c r="K37" s="38"/>
      <c r="L37" s="13" t="s">
        <v>36</v>
      </c>
      <c r="M37" s="38"/>
      <c r="N37" s="38"/>
      <c r="O37" s="38"/>
      <c r="P37" s="13">
        <v>0</v>
      </c>
      <c r="Q37" s="10">
        <v>100</v>
      </c>
      <c r="R37" s="10">
        <v>100</v>
      </c>
      <c r="S37" s="29" t="s">
        <v>126</v>
      </c>
      <c r="T37" s="38"/>
      <c r="U37" s="38"/>
      <c r="V37" s="24" t="s">
        <v>38</v>
      </c>
      <c r="W37" s="47" t="s">
        <v>122</v>
      </c>
      <c r="X37" s="47">
        <v>9623915</v>
      </c>
      <c r="Y37" s="38"/>
      <c r="Z37" s="12" t="s">
        <v>35</v>
      </c>
      <c r="AA37" s="38"/>
      <c r="AB37" s="38"/>
      <c r="AC37" s="24" t="s">
        <v>38</v>
      </c>
      <c r="AD37" s="7" t="s">
        <v>40</v>
      </c>
    </row>
    <row r="38" ht="33">
      <c r="A38" s="7" t="str">
        <f>"006/137/"&amp;TEXT(ROW()-1,"00")&amp;"/"&amp;MID(TEXT(D38,"0000-0000"),3,2)&amp;"-"&amp;MID(TEXT(D38,"0000-0000"),8,2)</f>
        <v>006/137/37/14-15</v>
      </c>
      <c r="B38" s="24" t="s">
        <v>127</v>
      </c>
      <c r="C38" s="25" t="s">
        <v>31</v>
      </c>
      <c r="D38" s="24" t="s">
        <v>111</v>
      </c>
      <c r="E38" s="10" t="s">
        <v>33</v>
      </c>
      <c r="F38" s="10">
        <v>0</v>
      </c>
      <c r="H38" s="12" t="s">
        <v>35</v>
      </c>
      <c r="L38" s="13" t="s">
        <v>36</v>
      </c>
      <c r="P38" s="13">
        <v>0</v>
      </c>
      <c r="Q38" s="10">
        <v>100</v>
      </c>
      <c r="R38" s="10">
        <v>100</v>
      </c>
      <c r="S38" s="29" t="s">
        <v>89</v>
      </c>
      <c r="V38" s="24" t="s">
        <v>38</v>
      </c>
      <c r="W38" t="s">
        <v>128</v>
      </c>
      <c r="X38">
        <v>9624467</v>
      </c>
      <c r="Z38" s="12" t="s">
        <v>35</v>
      </c>
      <c r="AC38" s="24" t="s">
        <v>38</v>
      </c>
      <c r="AD38" s="7" t="s">
        <v>40</v>
      </c>
    </row>
    <row r="39" ht="33">
      <c r="A39" s="7" t="str">
        <f>"006/137/"&amp;TEXT(ROW()-1,"00")&amp;"/"&amp;MID(TEXT(D39,"0000-0000"),3,2)&amp;"-"&amp;MID(TEXT(D39,"0000-0000"),8,2)</f>
        <v>006/137/38/16-17</v>
      </c>
      <c r="B39" s="24" t="s">
        <v>129</v>
      </c>
      <c r="C39" s="25" t="s">
        <v>31</v>
      </c>
      <c r="D39" s="24" t="s">
        <v>59</v>
      </c>
      <c r="E39" s="10" t="s">
        <v>33</v>
      </c>
      <c r="F39" s="10">
        <v>0</v>
      </c>
      <c r="H39" s="12" t="s">
        <v>35</v>
      </c>
      <c r="L39" s="13" t="s">
        <v>36</v>
      </c>
      <c r="P39" s="13">
        <v>0</v>
      </c>
      <c r="Q39" s="10">
        <v>100</v>
      </c>
      <c r="R39" s="10">
        <v>100</v>
      </c>
      <c r="S39" s="29" t="s">
        <v>92</v>
      </c>
      <c r="V39" s="24" t="s">
        <v>38</v>
      </c>
      <c r="W39" t="s">
        <v>128</v>
      </c>
      <c r="X39">
        <v>9624467</v>
      </c>
      <c r="Z39" s="12" t="s">
        <v>35</v>
      </c>
      <c r="AC39" s="24" t="s">
        <v>38</v>
      </c>
      <c r="AD39" s="7" t="s">
        <v>40</v>
      </c>
    </row>
    <row r="40" ht="33">
      <c r="A40" s="7" t="str">
        <f>"006/137/"&amp;TEXT(ROW()-1,"00")&amp;"/"&amp;MID(TEXT(D40,"0000-0000"),3,2)&amp;"-"&amp;MID(TEXT(D40,"0000-0000"),8,2)</f>
        <v>006/137/39/15-16</v>
      </c>
      <c r="B40" s="24" t="s">
        <v>130</v>
      </c>
      <c r="C40" s="25" t="s">
        <v>31</v>
      </c>
      <c r="D40" s="24" t="s">
        <v>32</v>
      </c>
      <c r="E40" s="10" t="s">
        <v>33</v>
      </c>
      <c r="F40" s="10">
        <v>0</v>
      </c>
      <c r="H40" s="12" t="s">
        <v>35</v>
      </c>
      <c r="L40" s="13" t="s">
        <v>36</v>
      </c>
      <c r="P40" s="13">
        <v>0</v>
      </c>
      <c r="Q40" s="10">
        <v>100</v>
      </c>
      <c r="R40" s="10">
        <v>100</v>
      </c>
      <c r="S40" s="29" t="s">
        <v>83</v>
      </c>
      <c r="V40" s="24" t="s">
        <v>38</v>
      </c>
      <c r="W40" t="s">
        <v>131</v>
      </c>
      <c r="X40">
        <v>9624461</v>
      </c>
      <c r="Z40" s="12" t="s">
        <v>35</v>
      </c>
      <c r="AC40" s="24" t="s">
        <v>38</v>
      </c>
      <c r="AD40" s="7" t="s">
        <v>40</v>
      </c>
    </row>
    <row r="41" ht="33">
      <c r="A41" s="7" t="str">
        <f>"006/137/"&amp;TEXT(ROW()-1,"00")&amp;"/"&amp;MID(TEXT(D41,"0000-0000"),3,2)&amp;"-"&amp;MID(TEXT(D41,"0000-0000"),8,2)</f>
        <v>006/137/40/20-21</v>
      </c>
      <c r="B41" s="24" t="s">
        <v>132</v>
      </c>
      <c r="C41" s="25" t="s">
        <v>31</v>
      </c>
      <c r="D41" s="24" t="s">
        <v>51</v>
      </c>
      <c r="E41" s="10" t="s">
        <v>33</v>
      </c>
      <c r="F41" s="10">
        <v>0</v>
      </c>
      <c r="H41" s="12" t="s">
        <v>35</v>
      </c>
      <c r="L41" s="13" t="s">
        <v>36</v>
      </c>
      <c r="P41" s="13">
        <v>0</v>
      </c>
      <c r="Q41" s="10">
        <v>100</v>
      </c>
      <c r="R41" s="10">
        <v>100</v>
      </c>
      <c r="S41" s="29" t="s">
        <v>133</v>
      </c>
      <c r="V41" s="24" t="s">
        <v>38</v>
      </c>
      <c r="W41" t="s">
        <v>134</v>
      </c>
      <c r="X41">
        <v>9624319</v>
      </c>
      <c r="Z41" s="12" t="s">
        <v>35</v>
      </c>
      <c r="AC41" s="24" t="s">
        <v>38</v>
      </c>
      <c r="AD41" s="7" t="s">
        <v>40</v>
      </c>
    </row>
    <row r="42" ht="33">
      <c r="A42" s="7" t="str">
        <f>"006/137/"&amp;TEXT(ROW()-1,"00")&amp;"/"&amp;MID(TEXT(D42,"0000-0000"),3,2)&amp;"-"&amp;MID(TEXT(D42,"0000-0000"),8,2)</f>
        <v>006/137/41/24-25</v>
      </c>
      <c r="B42" s="24" t="s">
        <v>132</v>
      </c>
      <c r="C42" s="25" t="s">
        <v>31</v>
      </c>
      <c r="D42" s="24" t="s">
        <v>54</v>
      </c>
      <c r="E42" s="10" t="s">
        <v>33</v>
      </c>
      <c r="F42" s="10">
        <v>0</v>
      </c>
      <c r="G42" s="38"/>
      <c r="H42" s="12" t="s">
        <v>35</v>
      </c>
      <c r="I42" s="38"/>
      <c r="J42" s="38"/>
      <c r="K42" s="38"/>
      <c r="L42" s="13" t="s">
        <v>36</v>
      </c>
      <c r="M42" s="38"/>
      <c r="N42" s="38"/>
      <c r="O42" s="38"/>
      <c r="P42" s="13">
        <v>0</v>
      </c>
      <c r="Q42" s="10">
        <v>100</v>
      </c>
      <c r="R42" s="10">
        <v>100</v>
      </c>
      <c r="S42" s="29" t="s">
        <v>133</v>
      </c>
      <c r="T42" s="38"/>
      <c r="U42" s="38"/>
      <c r="V42" s="24" t="s">
        <v>38</v>
      </c>
      <c r="W42" s="47" t="s">
        <v>134</v>
      </c>
      <c r="X42" s="47">
        <v>9624319</v>
      </c>
      <c r="Y42" s="38"/>
      <c r="Z42" s="12" t="s">
        <v>35</v>
      </c>
      <c r="AA42" s="38"/>
      <c r="AB42" s="38"/>
      <c r="AC42" s="24" t="s">
        <v>38</v>
      </c>
      <c r="AD42" s="7" t="s">
        <v>40</v>
      </c>
    </row>
    <row r="43" ht="33">
      <c r="A43" s="7" t="str">
        <f>"006/137/"&amp;TEXT(ROW()-1,"00")&amp;"/"&amp;MID(TEXT(D43,"0000-0000"),3,2)&amp;"-"&amp;MID(TEXT(D43,"0000-0000"),8,2)</f>
        <v>006/137/42/17-18</v>
      </c>
      <c r="B43" s="24" t="s">
        <v>135</v>
      </c>
      <c r="C43" s="25" t="s">
        <v>31</v>
      </c>
      <c r="D43" s="24" t="s">
        <v>120</v>
      </c>
      <c r="E43" s="10" t="s">
        <v>33</v>
      </c>
      <c r="F43" s="10">
        <v>0</v>
      </c>
      <c r="H43" s="12" t="s">
        <v>35</v>
      </c>
      <c r="L43" s="13" t="s">
        <v>36</v>
      </c>
      <c r="P43" s="13">
        <v>0</v>
      </c>
      <c r="Q43" s="10">
        <v>100</v>
      </c>
      <c r="R43" s="10">
        <v>100</v>
      </c>
      <c r="S43" s="29" t="s">
        <v>89</v>
      </c>
      <c r="V43" s="24" t="s">
        <v>38</v>
      </c>
      <c r="W43" t="s">
        <v>136</v>
      </c>
      <c r="X43">
        <v>9624328</v>
      </c>
      <c r="Z43" s="12" t="s">
        <v>35</v>
      </c>
      <c r="AC43" s="24" t="s">
        <v>38</v>
      </c>
      <c r="AD43" s="7" t="s">
        <v>40</v>
      </c>
    </row>
    <row r="44" ht="33">
      <c r="A44" s="7" t="str">
        <f>"006/137/"&amp;TEXT(ROW()-1,"00")&amp;"/"&amp;MID(TEXT(D44,"0000-0000"),3,2)&amp;"-"&amp;MID(TEXT(D44,"0000-0000"),8,2)</f>
        <v>006/137/43/20-21</v>
      </c>
      <c r="B44" s="24" t="s">
        <v>137</v>
      </c>
      <c r="C44" s="25" t="s">
        <v>31</v>
      </c>
      <c r="D44" s="24" t="s">
        <v>51</v>
      </c>
      <c r="E44" s="10" t="s">
        <v>33</v>
      </c>
      <c r="F44" s="10">
        <v>0</v>
      </c>
      <c r="H44" s="12" t="s">
        <v>35</v>
      </c>
      <c r="L44" s="13" t="s">
        <v>36</v>
      </c>
      <c r="P44" s="13">
        <v>0</v>
      </c>
      <c r="Q44" s="10">
        <v>100</v>
      </c>
      <c r="R44" s="10">
        <v>100</v>
      </c>
      <c r="S44" s="29" t="s">
        <v>138</v>
      </c>
      <c r="V44" s="24" t="s">
        <v>38</v>
      </c>
      <c r="W44" t="s">
        <v>139</v>
      </c>
      <c r="X44">
        <v>9624166</v>
      </c>
      <c r="Z44" s="12" t="s">
        <v>35</v>
      </c>
      <c r="AC44" s="24" t="s">
        <v>38</v>
      </c>
      <c r="AD44" s="7" t="s">
        <v>40</v>
      </c>
    </row>
    <row r="45" ht="33">
      <c r="A45" s="7" t="str">
        <f>"006/137/"&amp;TEXT(ROW()-1,"00")&amp;"/"&amp;MID(TEXT(D45,"0000-0000"),3,2)&amp;"-"&amp;MID(TEXT(D45,"0000-0000"),8,2)</f>
        <v>006/137/44/24-25</v>
      </c>
      <c r="B45" s="24" t="s">
        <v>137</v>
      </c>
      <c r="C45" s="25" t="s">
        <v>31</v>
      </c>
      <c r="D45" s="24" t="s">
        <v>54</v>
      </c>
      <c r="E45" s="10" t="s">
        <v>33</v>
      </c>
      <c r="F45" s="10">
        <v>0</v>
      </c>
      <c r="G45" s="38"/>
      <c r="H45" s="12" t="s">
        <v>35</v>
      </c>
      <c r="I45" s="38"/>
      <c r="J45" s="38"/>
      <c r="K45" s="38"/>
      <c r="L45" s="13" t="s">
        <v>36</v>
      </c>
      <c r="M45" s="38"/>
      <c r="N45" s="38"/>
      <c r="O45" s="38"/>
      <c r="P45" s="13">
        <v>0</v>
      </c>
      <c r="Q45" s="10">
        <v>100</v>
      </c>
      <c r="R45" s="10">
        <v>100</v>
      </c>
      <c r="S45" s="29" t="s">
        <v>138</v>
      </c>
      <c r="T45" s="38"/>
      <c r="U45" s="38"/>
      <c r="V45" s="24" t="s">
        <v>38</v>
      </c>
      <c r="W45" s="47" t="s">
        <v>139</v>
      </c>
      <c r="X45" s="47">
        <v>9624166</v>
      </c>
      <c r="Y45" s="38"/>
      <c r="Z45" s="12" t="s">
        <v>35</v>
      </c>
      <c r="AA45" s="38"/>
      <c r="AB45" s="38"/>
      <c r="AC45" s="24" t="s">
        <v>38</v>
      </c>
      <c r="AD45" s="7" t="s">
        <v>40</v>
      </c>
    </row>
    <row r="46" ht="33">
      <c r="A46" s="7" t="str">
        <f>"006/137/"&amp;TEXT(ROW()-1,"00")&amp;"/"&amp;MID(TEXT(D46,"0000-0000"),3,2)&amp;"-"&amp;MID(TEXT(D46,"0000-0000"),8,2)</f>
        <v>006/137/45/20-21</v>
      </c>
      <c r="B46" s="24" t="s">
        <v>140</v>
      </c>
      <c r="C46" s="25" t="s">
        <v>31</v>
      </c>
      <c r="D46" s="24" t="s">
        <v>51</v>
      </c>
      <c r="E46" s="10" t="s">
        <v>33</v>
      </c>
      <c r="F46" s="10">
        <v>0</v>
      </c>
      <c r="H46" s="12" t="s">
        <v>35</v>
      </c>
      <c r="L46" s="13" t="s">
        <v>36</v>
      </c>
      <c r="P46" s="13">
        <v>0</v>
      </c>
      <c r="Q46" s="10">
        <v>100</v>
      </c>
      <c r="R46" s="10">
        <v>100</v>
      </c>
      <c r="S46" s="29" t="s">
        <v>141</v>
      </c>
      <c r="V46" s="24" t="s">
        <v>38</v>
      </c>
      <c r="W46" t="s">
        <v>139</v>
      </c>
      <c r="X46">
        <v>9624166</v>
      </c>
      <c r="Z46" s="12" t="s">
        <v>35</v>
      </c>
      <c r="AC46" s="24" t="s">
        <v>38</v>
      </c>
      <c r="AD46" s="7" t="s">
        <v>40</v>
      </c>
    </row>
    <row r="47" ht="33">
      <c r="A47" s="7" t="str">
        <f>"006/137/"&amp;TEXT(ROW()-1,"00")&amp;"/"&amp;MID(TEXT(D47,"0000-0000"),3,2)&amp;"-"&amp;MID(TEXT(D47,"0000-0000"),8,2)</f>
        <v>006/137/46/24-25</v>
      </c>
      <c r="B47" s="24" t="s">
        <v>140</v>
      </c>
      <c r="C47" s="25" t="s">
        <v>31</v>
      </c>
      <c r="D47" s="24" t="s">
        <v>54</v>
      </c>
      <c r="E47" s="10" t="s">
        <v>33</v>
      </c>
      <c r="F47" s="10">
        <v>0</v>
      </c>
      <c r="G47" s="38"/>
      <c r="H47" s="12" t="s">
        <v>35</v>
      </c>
      <c r="I47" s="38"/>
      <c r="J47" s="38"/>
      <c r="K47" s="38"/>
      <c r="L47" s="13" t="s">
        <v>36</v>
      </c>
      <c r="M47" s="38"/>
      <c r="N47" s="38"/>
      <c r="O47" s="38"/>
      <c r="P47" s="13">
        <v>0</v>
      </c>
      <c r="Q47" s="10">
        <v>100</v>
      </c>
      <c r="R47" s="10">
        <v>100</v>
      </c>
      <c r="S47" s="29" t="s">
        <v>141</v>
      </c>
      <c r="T47" s="38"/>
      <c r="U47" s="38"/>
      <c r="V47" s="24" t="s">
        <v>38</v>
      </c>
      <c r="W47" s="47" t="s">
        <v>139</v>
      </c>
      <c r="X47" s="47">
        <v>9624166</v>
      </c>
      <c r="Y47" s="38"/>
      <c r="Z47" s="12" t="s">
        <v>35</v>
      </c>
      <c r="AA47" s="38"/>
      <c r="AB47" s="38"/>
      <c r="AC47" s="24" t="s">
        <v>38</v>
      </c>
      <c r="AD47" s="7" t="s">
        <v>40</v>
      </c>
    </row>
    <row r="48" ht="33">
      <c r="A48" s="7" t="str">
        <f>"006/137/"&amp;TEXT(ROW()-1,"00")&amp;"/"&amp;MID(TEXT(D48,"0000-0000"),3,2)&amp;"-"&amp;MID(TEXT(D48,"0000-0000"),8,2)</f>
        <v>006/137/47/20-21</v>
      </c>
      <c r="B48" s="24" t="s">
        <v>142</v>
      </c>
      <c r="C48" s="25" t="s">
        <v>31</v>
      </c>
      <c r="D48" s="24" t="s">
        <v>51</v>
      </c>
      <c r="E48" s="10" t="s">
        <v>33</v>
      </c>
      <c r="F48" s="10">
        <v>0</v>
      </c>
      <c r="H48" s="12" t="s">
        <v>35</v>
      </c>
      <c r="L48" s="13" t="s">
        <v>36</v>
      </c>
      <c r="P48" s="13">
        <v>0</v>
      </c>
      <c r="Q48" s="10">
        <v>100</v>
      </c>
      <c r="R48" s="10">
        <v>100</v>
      </c>
      <c r="S48" s="29" t="s">
        <v>98</v>
      </c>
      <c r="V48" s="24" t="s">
        <v>38</v>
      </c>
      <c r="W48" t="s">
        <v>143</v>
      </c>
      <c r="X48">
        <v>9624159</v>
      </c>
      <c r="Z48" s="12" t="s">
        <v>35</v>
      </c>
      <c r="AC48" s="24" t="s">
        <v>38</v>
      </c>
      <c r="AD48" s="7" t="s">
        <v>40</v>
      </c>
    </row>
    <row r="49" ht="33">
      <c r="A49" s="7" t="str">
        <f>"006/137/"&amp;TEXT(ROW()-1,"00")&amp;"/"&amp;MID(TEXT(D49,"0000-0000"),3,2)&amp;"-"&amp;MID(TEXT(D49,"0000-0000"),8,2)</f>
        <v>006/137/48/24-25</v>
      </c>
      <c r="B49" s="24" t="s">
        <v>142</v>
      </c>
      <c r="C49" s="25" t="s">
        <v>31</v>
      </c>
      <c r="D49" s="24" t="s">
        <v>54</v>
      </c>
      <c r="E49" s="10" t="s">
        <v>33</v>
      </c>
      <c r="F49" s="10">
        <v>0</v>
      </c>
      <c r="G49" s="38"/>
      <c r="H49" s="12" t="s">
        <v>35</v>
      </c>
      <c r="I49" s="38"/>
      <c r="J49" s="38"/>
      <c r="K49" s="38"/>
      <c r="L49" s="13" t="s">
        <v>36</v>
      </c>
      <c r="M49" s="38"/>
      <c r="N49" s="38"/>
      <c r="O49" s="38"/>
      <c r="P49" s="13">
        <v>0</v>
      </c>
      <c r="Q49" s="10">
        <v>100</v>
      </c>
      <c r="R49" s="10">
        <v>100</v>
      </c>
      <c r="S49" s="29" t="s">
        <v>98</v>
      </c>
      <c r="T49" s="38"/>
      <c r="U49" s="38"/>
      <c r="V49" s="24" t="s">
        <v>38</v>
      </c>
      <c r="W49" s="47" t="s">
        <v>143</v>
      </c>
      <c r="X49" s="47">
        <v>9624159</v>
      </c>
      <c r="Y49" s="38"/>
      <c r="Z49" s="12" t="s">
        <v>35</v>
      </c>
      <c r="AA49" s="38"/>
      <c r="AB49" s="38"/>
      <c r="AC49" s="24" t="s">
        <v>38</v>
      </c>
      <c r="AD49" s="7" t="s">
        <v>40</v>
      </c>
    </row>
    <row r="50" ht="33">
      <c r="A50" s="7" t="str">
        <f>"006/137/"&amp;TEXT(ROW()-1,"00")&amp;"/"&amp;MID(TEXT(D50,"0000-0000"),3,2)&amp;"-"&amp;MID(TEXT(D50,"0000-0000"),8,2)</f>
        <v>006/137/49/20-21</v>
      </c>
      <c r="B50" s="24" t="s">
        <v>144</v>
      </c>
      <c r="C50" s="25" t="s">
        <v>31</v>
      </c>
      <c r="D50" s="24" t="s">
        <v>51</v>
      </c>
      <c r="E50" s="10" t="s">
        <v>33</v>
      </c>
      <c r="F50" s="10">
        <v>0</v>
      </c>
      <c r="H50" s="12" t="s">
        <v>35</v>
      </c>
      <c r="L50" s="13" t="s">
        <v>36</v>
      </c>
      <c r="P50" s="13">
        <v>0</v>
      </c>
      <c r="Q50" s="10">
        <v>100</v>
      </c>
      <c r="R50" s="10">
        <v>100</v>
      </c>
      <c r="S50" s="29" t="s">
        <v>145</v>
      </c>
      <c r="V50" s="24" t="s">
        <v>38</v>
      </c>
      <c r="W50" t="s">
        <v>146</v>
      </c>
      <c r="X50">
        <v>9624148</v>
      </c>
      <c r="Z50" s="12" t="s">
        <v>35</v>
      </c>
      <c r="AC50" s="24" t="s">
        <v>38</v>
      </c>
      <c r="AD50" s="7" t="s">
        <v>40</v>
      </c>
    </row>
    <row r="51" ht="33">
      <c r="A51" s="7" t="str">
        <f>"006/137/"&amp;TEXT(ROW()-1,"00")&amp;"/"&amp;MID(TEXT(D51,"0000-0000"),3,2)&amp;"-"&amp;MID(TEXT(D51,"0000-0000"),8,2)</f>
        <v>006/137/50/24-25</v>
      </c>
      <c r="B51" s="24" t="s">
        <v>144</v>
      </c>
      <c r="C51" s="25" t="s">
        <v>31</v>
      </c>
      <c r="D51" s="24" t="s">
        <v>54</v>
      </c>
      <c r="E51" s="10" t="s">
        <v>33</v>
      </c>
      <c r="F51" s="10">
        <v>0</v>
      </c>
      <c r="G51"/>
      <c r="H51" s="12" t="s">
        <v>35</v>
      </c>
      <c r="I51"/>
      <c r="J51"/>
      <c r="K51"/>
      <c r="L51" s="13" t="s">
        <v>36</v>
      </c>
      <c r="M51"/>
      <c r="N51"/>
      <c r="O51"/>
      <c r="P51" s="13">
        <v>0</v>
      </c>
      <c r="Q51" s="10">
        <v>100</v>
      </c>
      <c r="R51" s="10">
        <v>100</v>
      </c>
      <c r="S51" s="29" t="s">
        <v>145</v>
      </c>
      <c r="T51"/>
      <c r="U51"/>
      <c r="V51" s="24" t="s">
        <v>38</v>
      </c>
      <c r="W51" s="47" t="s">
        <v>146</v>
      </c>
      <c r="X51" s="47">
        <v>9624148</v>
      </c>
      <c r="Y51"/>
      <c r="Z51" s="12" t="s">
        <v>35</v>
      </c>
      <c r="AA51"/>
      <c r="AB51"/>
      <c r="AC51" s="24" t="s">
        <v>38</v>
      </c>
      <c r="AD51" s="7" t="s">
        <v>40</v>
      </c>
    </row>
    <row r="52" ht="33">
      <c r="A52" s="7" t="str">
        <f>"006/137/"&amp;TEXT(ROW()-1,"00")&amp;"/"&amp;MID(TEXT(D52,"0000-0000"),3,2)&amp;"-"&amp;MID(TEXT(D52,"0000-0000"),8,2)</f>
        <v>006/137/51/20-21</v>
      </c>
      <c r="B52" s="24" t="s">
        <v>147</v>
      </c>
      <c r="C52" s="25" t="s">
        <v>31</v>
      </c>
      <c r="D52" s="24" t="s">
        <v>51</v>
      </c>
      <c r="E52" s="10" t="s">
        <v>33</v>
      </c>
      <c r="F52" s="10">
        <v>0</v>
      </c>
      <c r="H52" s="12" t="s">
        <v>35</v>
      </c>
      <c r="L52" s="13" t="s">
        <v>36</v>
      </c>
      <c r="P52" s="13">
        <v>0</v>
      </c>
      <c r="Q52" s="10">
        <v>100</v>
      </c>
      <c r="R52" s="10">
        <v>100</v>
      </c>
      <c r="S52" s="29" t="s">
        <v>148</v>
      </c>
      <c r="V52" s="24" t="s">
        <v>38</v>
      </c>
      <c r="W52" t="s">
        <v>149</v>
      </c>
      <c r="X52">
        <v>9624161</v>
      </c>
      <c r="Z52" s="12" t="s">
        <v>35</v>
      </c>
      <c r="AC52" s="24" t="s">
        <v>38</v>
      </c>
      <c r="AD52" s="7" t="s">
        <v>40</v>
      </c>
    </row>
    <row r="53" ht="33">
      <c r="A53" s="7" t="str">
        <f>"006/137/"&amp;TEXT(ROW()-1,"00")&amp;"/"&amp;MID(TEXT(D53,"0000-0000"),3,2)&amp;"-"&amp;MID(TEXT(D53,"0000-0000"),8,2)</f>
        <v>006/137/52/24-25</v>
      </c>
      <c r="B53" s="24" t="s">
        <v>147</v>
      </c>
      <c r="C53" s="25" t="s">
        <v>31</v>
      </c>
      <c r="D53" s="24" t="s">
        <v>54</v>
      </c>
      <c r="E53" s="10" t="s">
        <v>33</v>
      </c>
      <c r="F53" s="10">
        <v>0</v>
      </c>
      <c r="G53" s="38"/>
      <c r="H53" s="12" t="s">
        <v>35</v>
      </c>
      <c r="I53" s="38"/>
      <c r="J53" s="38"/>
      <c r="K53" s="38"/>
      <c r="L53" s="13" t="s">
        <v>36</v>
      </c>
      <c r="M53" s="38"/>
      <c r="N53" s="38"/>
      <c r="O53" s="38"/>
      <c r="P53" s="13">
        <v>0</v>
      </c>
      <c r="Q53" s="10">
        <v>100</v>
      </c>
      <c r="R53" s="10">
        <v>100</v>
      </c>
      <c r="S53" s="29" t="s">
        <v>148</v>
      </c>
      <c r="T53" s="38"/>
      <c r="U53" s="38"/>
      <c r="V53" s="24" t="s">
        <v>38</v>
      </c>
      <c r="W53" s="47" t="s">
        <v>149</v>
      </c>
      <c r="X53" s="47">
        <v>9624161</v>
      </c>
      <c r="Y53" s="38"/>
      <c r="Z53" s="12" t="s">
        <v>35</v>
      </c>
      <c r="AA53" s="38"/>
      <c r="AB53" s="38"/>
      <c r="AC53" s="24" t="s">
        <v>38</v>
      </c>
      <c r="AD53" s="7" t="s">
        <v>40</v>
      </c>
    </row>
    <row r="54" ht="33">
      <c r="A54" s="7" t="str">
        <f>"006/137/"&amp;TEXT(ROW()-1,"00")&amp;"/"&amp;MID(TEXT(D54,"0000-0000"),3,2)&amp;"-"&amp;MID(TEXT(D54,"0000-0000"),8,2)</f>
        <v>006/137/53/18-19</v>
      </c>
      <c r="B54" s="24" t="s">
        <v>150</v>
      </c>
      <c r="C54" s="25" t="s">
        <v>31</v>
      </c>
      <c r="D54" s="24" t="s">
        <v>82</v>
      </c>
      <c r="E54" s="10" t="s">
        <v>33</v>
      </c>
      <c r="F54" s="10">
        <v>0</v>
      </c>
      <c r="H54" s="12" t="s">
        <v>35</v>
      </c>
      <c r="L54" s="13" t="s">
        <v>36</v>
      </c>
      <c r="P54" s="13">
        <v>0</v>
      </c>
      <c r="Q54" s="10">
        <v>100</v>
      </c>
      <c r="R54" s="10">
        <v>100</v>
      </c>
      <c r="S54" s="29" t="s">
        <v>89</v>
      </c>
      <c r="V54" s="24" t="s">
        <v>38</v>
      </c>
      <c r="W54" t="s">
        <v>151</v>
      </c>
      <c r="X54">
        <v>9624089</v>
      </c>
      <c r="Z54" s="12" t="s">
        <v>35</v>
      </c>
      <c r="AC54" s="24" t="s">
        <v>38</v>
      </c>
      <c r="AD54" s="7" t="s">
        <v>40</v>
      </c>
    </row>
    <row r="55" ht="33">
      <c r="A55" s="7" t="str">
        <f>"006/137/"&amp;TEXT(ROW()-1,"00")&amp;"/"&amp;MID(TEXT(D55,"0000-0000"),3,2)&amp;"-"&amp;MID(TEXT(D55,"0000-0000"),8,2)</f>
        <v>006/137/54/15-16</v>
      </c>
      <c r="B55" s="24" t="s">
        <v>152</v>
      </c>
      <c r="C55" s="25" t="s">
        <v>31</v>
      </c>
      <c r="D55" s="24" t="s">
        <v>32</v>
      </c>
      <c r="E55" s="10" t="s">
        <v>33</v>
      </c>
      <c r="F55" s="10">
        <v>0</v>
      </c>
      <c r="H55" s="12" t="s">
        <v>35</v>
      </c>
      <c r="L55" s="13" t="s">
        <v>36</v>
      </c>
      <c r="P55" s="13">
        <v>0</v>
      </c>
      <c r="Q55" s="10">
        <v>100</v>
      </c>
      <c r="R55" s="10">
        <v>100</v>
      </c>
      <c r="S55" s="29" t="s">
        <v>153</v>
      </c>
      <c r="V55" s="24" t="s">
        <v>38</v>
      </c>
      <c r="W55" t="s">
        <v>154</v>
      </c>
      <c r="X55">
        <v>9624473</v>
      </c>
      <c r="Z55" s="12" t="s">
        <v>35</v>
      </c>
      <c r="AC55" s="24" t="s">
        <v>38</v>
      </c>
      <c r="AD55" s="7" t="s">
        <v>40</v>
      </c>
    </row>
    <row r="56" ht="33">
      <c r="A56" s="7" t="str">
        <f>"006/137/"&amp;TEXT(ROW()-1,"00")&amp;"/"&amp;MID(TEXT(D56,"0000-0000"),3,2)&amp;"-"&amp;MID(TEXT(D56,"0000-0000"),8,2)</f>
        <v>006/137/55/20-21</v>
      </c>
      <c r="B56" s="24" t="s">
        <v>155</v>
      </c>
      <c r="C56" s="25" t="s">
        <v>31</v>
      </c>
      <c r="D56" s="24" t="s">
        <v>51</v>
      </c>
      <c r="E56" s="10" t="s">
        <v>33</v>
      </c>
      <c r="F56" s="10">
        <v>0</v>
      </c>
      <c r="H56" s="12" t="s">
        <v>35</v>
      </c>
      <c r="L56" s="13" t="s">
        <v>36</v>
      </c>
      <c r="P56" s="13">
        <v>0</v>
      </c>
      <c r="Q56" s="10">
        <v>100</v>
      </c>
      <c r="R56" s="10">
        <v>100</v>
      </c>
      <c r="S56" s="29" t="s">
        <v>156</v>
      </c>
      <c r="V56" s="24" t="s">
        <v>38</v>
      </c>
      <c r="W56" t="s">
        <v>154</v>
      </c>
      <c r="X56">
        <v>9624473</v>
      </c>
      <c r="Z56" s="12" t="s">
        <v>35</v>
      </c>
      <c r="AC56" s="24" t="s">
        <v>38</v>
      </c>
      <c r="AD56" s="7" t="s">
        <v>40</v>
      </c>
    </row>
    <row r="57" ht="33">
      <c r="A57" s="7" t="str">
        <f>"006/137/"&amp;TEXT(ROW()-1,"00")&amp;"/"&amp;MID(TEXT(D57,"0000-0000"),3,2)&amp;"-"&amp;MID(TEXT(D57,"0000-0000"),8,2)</f>
        <v>006/137/56/24-25</v>
      </c>
      <c r="B57" s="24" t="s">
        <v>155</v>
      </c>
      <c r="C57" s="25" t="s">
        <v>31</v>
      </c>
      <c r="D57" s="24" t="s">
        <v>54</v>
      </c>
      <c r="E57" s="10" t="s">
        <v>33</v>
      </c>
      <c r="F57" s="10">
        <v>0</v>
      </c>
      <c r="G57" s="38"/>
      <c r="H57" s="12" t="s">
        <v>35</v>
      </c>
      <c r="I57" s="38"/>
      <c r="J57" s="38"/>
      <c r="K57" s="38"/>
      <c r="L57" s="13" t="s">
        <v>36</v>
      </c>
      <c r="M57" s="38"/>
      <c r="N57" s="38"/>
      <c r="O57" s="38"/>
      <c r="P57" s="13">
        <v>0</v>
      </c>
      <c r="Q57" s="10">
        <v>100</v>
      </c>
      <c r="R57" s="10">
        <v>100</v>
      </c>
      <c r="S57" s="29" t="s">
        <v>156</v>
      </c>
      <c r="T57" s="38"/>
      <c r="U57" s="38"/>
      <c r="V57" s="24" t="s">
        <v>38</v>
      </c>
      <c r="W57" s="47" t="s">
        <v>154</v>
      </c>
      <c r="X57" s="47">
        <v>9624473</v>
      </c>
      <c r="Y57" s="38"/>
      <c r="Z57" s="12" t="s">
        <v>35</v>
      </c>
      <c r="AA57" s="38"/>
      <c r="AB57" s="38"/>
      <c r="AC57" s="24" t="s">
        <v>38</v>
      </c>
      <c r="AD57" s="7" t="s">
        <v>40</v>
      </c>
    </row>
    <row r="58" ht="49.5">
      <c r="A58" s="7" t="str">
        <f>"006/137/"&amp;TEXT(ROW()-1,"00")&amp;"/"&amp;MID(TEXT(D58,"0000-0000"),3,2)&amp;"-"&amp;MID(TEXT(D58,"0000-0000"),8,2)</f>
        <v>006/137/57/18-19</v>
      </c>
      <c r="B58" s="24" t="s">
        <v>157</v>
      </c>
      <c r="C58" s="25" t="s">
        <v>31</v>
      </c>
      <c r="D58" s="24" t="s">
        <v>82</v>
      </c>
      <c r="E58" s="10" t="s">
        <v>33</v>
      </c>
      <c r="F58" s="10">
        <v>0</v>
      </c>
      <c r="H58" s="12" t="s">
        <v>35</v>
      </c>
      <c r="L58" s="13" t="s">
        <v>36</v>
      </c>
      <c r="P58" s="13">
        <v>0</v>
      </c>
      <c r="Q58" s="10">
        <v>100</v>
      </c>
      <c r="R58" s="10">
        <v>100</v>
      </c>
      <c r="S58" s="29" t="s">
        <v>158</v>
      </c>
      <c r="V58" s="24" t="s">
        <v>38</v>
      </c>
      <c r="W58" t="s">
        <v>159</v>
      </c>
      <c r="X58">
        <v>9624528</v>
      </c>
      <c r="Z58" s="12" t="s">
        <v>35</v>
      </c>
      <c r="AC58" s="24" t="s">
        <v>38</v>
      </c>
      <c r="AD58" s="7" t="s">
        <v>40</v>
      </c>
    </row>
    <row r="59" ht="16.5">
      <c r="A59" s="7" t="str">
        <f>"006/137/"&amp;TEXT(ROW()-1,"00")&amp;"/"&amp;MID(TEXT(D59,"0000-0000"),3,2)&amp;"-"&amp;MID(TEXT(D59,"0000-0000"),8,2)</f>
        <v>006/137/58/17-18</v>
      </c>
      <c r="B59" s="24" t="s">
        <v>160</v>
      </c>
      <c r="C59" s="25" t="s">
        <v>31</v>
      </c>
      <c r="D59" s="24" t="s">
        <v>120</v>
      </c>
      <c r="E59" s="10" t="s">
        <v>33</v>
      </c>
      <c r="F59" s="10">
        <v>0</v>
      </c>
      <c r="H59" s="12" t="s">
        <v>35</v>
      </c>
      <c r="L59" s="13" t="s">
        <v>36</v>
      </c>
      <c r="P59" s="13">
        <v>0</v>
      </c>
      <c r="Q59" s="10">
        <v>100</v>
      </c>
      <c r="R59" s="10">
        <v>100</v>
      </c>
      <c r="S59" s="29" t="s">
        <v>161</v>
      </c>
      <c r="V59" s="24" t="s">
        <v>38</v>
      </c>
      <c r="W59" t="s">
        <v>159</v>
      </c>
      <c r="X59">
        <v>9624528</v>
      </c>
      <c r="Z59" s="12" t="s">
        <v>35</v>
      </c>
      <c r="AC59" s="24" t="s">
        <v>38</v>
      </c>
      <c r="AD59" s="7" t="s">
        <v>40</v>
      </c>
    </row>
    <row r="60" ht="33">
      <c r="A60" s="7" t="str">
        <f>"006/137/"&amp;TEXT(ROW()-1,"00")&amp;"/"&amp;MID(TEXT(D60,"0000-0000"),3,2)&amp;"-"&amp;MID(TEXT(D60,"0000-0000"),8,2)</f>
        <v>006/137/59/00-00</v>
      </c>
      <c r="B60" s="24" t="s">
        <v>162</v>
      </c>
      <c r="C60" s="25" t="s">
        <v>31</v>
      </c>
      <c r="D60" s="24"/>
      <c r="E60" s="10" t="s">
        <v>33</v>
      </c>
      <c r="F60" s="10">
        <v>0</v>
      </c>
      <c r="H60" s="12" t="s">
        <v>35</v>
      </c>
      <c r="L60" s="13" t="s">
        <v>36</v>
      </c>
      <c r="P60" s="13">
        <v>0</v>
      </c>
      <c r="Q60" s="10">
        <v>100</v>
      </c>
      <c r="R60" s="10">
        <v>100</v>
      </c>
      <c r="S60" s="29" t="s">
        <v>67</v>
      </c>
      <c r="V60" s="24" t="s">
        <v>38</v>
      </c>
      <c r="W60" t="s">
        <v>159</v>
      </c>
      <c r="X60">
        <v>9624528</v>
      </c>
      <c r="Z60" s="12" t="s">
        <v>35</v>
      </c>
      <c r="AC60" s="24" t="s">
        <v>38</v>
      </c>
      <c r="AD60" s="7" t="s">
        <v>40</v>
      </c>
    </row>
    <row r="61" ht="33">
      <c r="A61" s="7" t="str">
        <f>"006/137/"&amp;TEXT(ROW()-1,"00")&amp;"/"&amp;MID(TEXT(D61,"0000-0000"),3,2)&amp;"-"&amp;MID(TEXT(D61,"0000-0000"),8,2)</f>
        <v>006/137/60/00-00</v>
      </c>
      <c r="B61" s="24" t="s">
        <v>163</v>
      </c>
      <c r="C61" s="25" t="s">
        <v>31</v>
      </c>
      <c r="D61" s="24"/>
      <c r="E61" s="10" t="s">
        <v>33</v>
      </c>
      <c r="F61" s="10">
        <v>0</v>
      </c>
      <c r="H61" s="12" t="s">
        <v>35</v>
      </c>
      <c r="L61" s="13" t="s">
        <v>36</v>
      </c>
      <c r="P61" s="13">
        <v>0</v>
      </c>
      <c r="Q61" s="10">
        <v>100</v>
      </c>
      <c r="R61" s="10">
        <v>100</v>
      </c>
      <c r="S61" s="29" t="s">
        <v>164</v>
      </c>
      <c r="V61" s="24" t="s">
        <v>38</v>
      </c>
      <c r="W61" t="s">
        <v>159</v>
      </c>
      <c r="X61">
        <v>9624528</v>
      </c>
      <c r="Z61" s="12" t="s">
        <v>35</v>
      </c>
      <c r="AC61" s="24" t="s">
        <v>38</v>
      </c>
      <c r="AD61" s="7" t="s">
        <v>40</v>
      </c>
    </row>
    <row r="62" ht="33">
      <c r="A62" s="7" t="str">
        <f>"006/137/"&amp;TEXT(ROW()-1,"00")&amp;"/"&amp;MID(TEXT(D62,"0000-0000"),3,2)&amp;"-"&amp;MID(TEXT(D62,"0000-0000"),8,2)</f>
        <v>006/137/61/18-</v>
      </c>
      <c r="B62" s="24" t="s">
        <v>165</v>
      </c>
      <c r="C62" s="25" t="s">
        <v>31</v>
      </c>
      <c r="D62" s="24" t="s">
        <v>166</v>
      </c>
      <c r="E62" s="10" t="s">
        <v>33</v>
      </c>
      <c r="F62" s="10">
        <v>0</v>
      </c>
      <c r="H62" s="12" t="s">
        <v>35</v>
      </c>
      <c r="L62" s="13" t="s">
        <v>36</v>
      </c>
      <c r="P62" s="13">
        <v>0</v>
      </c>
      <c r="Q62" s="10">
        <v>100</v>
      </c>
      <c r="R62" s="10">
        <v>100</v>
      </c>
      <c r="S62" s="29" t="s">
        <v>167</v>
      </c>
      <c r="V62" s="24" t="s">
        <v>38</v>
      </c>
      <c r="W62" t="s">
        <v>159</v>
      </c>
      <c r="X62">
        <v>9624528</v>
      </c>
      <c r="Z62" s="12" t="s">
        <v>35</v>
      </c>
      <c r="AC62" s="24" t="s">
        <v>38</v>
      </c>
      <c r="AD62" s="7" t="s">
        <v>40</v>
      </c>
    </row>
    <row r="63" ht="33">
      <c r="A63" s="7" t="str">
        <f>"006/137/"&amp;TEXT(ROW()-1,"00")&amp;"/"&amp;MID(TEXT(D63,"0000-0000"),3,2)&amp;"-"&amp;MID(TEXT(D63,"0000-0000"),8,2)</f>
        <v>006/137/62/20-21</v>
      </c>
      <c r="B63" s="24" t="s">
        <v>168</v>
      </c>
      <c r="C63" s="25" t="s">
        <v>31</v>
      </c>
      <c r="D63" s="24" t="s">
        <v>51</v>
      </c>
      <c r="E63" s="10" t="s">
        <v>33</v>
      </c>
      <c r="F63" s="10">
        <v>0</v>
      </c>
      <c r="H63" s="12" t="s">
        <v>35</v>
      </c>
      <c r="L63" s="13" t="s">
        <v>36</v>
      </c>
      <c r="P63" s="13">
        <v>0</v>
      </c>
      <c r="Q63" s="10">
        <v>100</v>
      </c>
      <c r="R63" s="10">
        <v>100</v>
      </c>
      <c r="S63" s="29" t="s">
        <v>169</v>
      </c>
      <c r="V63" s="24" t="s">
        <v>38</v>
      </c>
      <c r="W63" t="s">
        <v>159</v>
      </c>
      <c r="X63">
        <v>9624528</v>
      </c>
      <c r="Z63" s="12" t="s">
        <v>35</v>
      </c>
      <c r="AC63" s="24" t="s">
        <v>38</v>
      </c>
      <c r="AD63" s="7" t="s">
        <v>40</v>
      </c>
    </row>
    <row r="64" ht="33">
      <c r="A64" s="7" t="str">
        <f>"006/137/"&amp;TEXT(ROW()-1,"00")&amp;"/"&amp;MID(TEXT(D64,"0000-0000"),3,2)&amp;"-"&amp;MID(TEXT(D64,"0000-0000"),8,2)</f>
        <v>006/137/63/24-25</v>
      </c>
      <c r="B64" s="24" t="s">
        <v>168</v>
      </c>
      <c r="C64" s="25" t="s">
        <v>31</v>
      </c>
      <c r="D64" s="24" t="s">
        <v>54</v>
      </c>
      <c r="E64" s="10" t="s">
        <v>33</v>
      </c>
      <c r="F64" s="10">
        <v>0</v>
      </c>
      <c r="G64" s="38"/>
      <c r="H64" s="12" t="s">
        <v>35</v>
      </c>
      <c r="I64" s="38"/>
      <c r="J64" s="38"/>
      <c r="K64" s="38"/>
      <c r="L64" s="13" t="s">
        <v>36</v>
      </c>
      <c r="M64" s="38"/>
      <c r="N64" s="38"/>
      <c r="O64" s="38"/>
      <c r="P64" s="13">
        <v>0</v>
      </c>
      <c r="Q64" s="10">
        <v>100</v>
      </c>
      <c r="R64" s="10">
        <v>100</v>
      </c>
      <c r="S64" s="29" t="s">
        <v>169</v>
      </c>
      <c r="T64" s="38"/>
      <c r="U64" s="38"/>
      <c r="V64" s="24" t="s">
        <v>38</v>
      </c>
      <c r="W64" s="47" t="s">
        <v>159</v>
      </c>
      <c r="X64" s="47">
        <v>9624528</v>
      </c>
      <c r="Y64" s="38"/>
      <c r="Z64" s="12" t="s">
        <v>35</v>
      </c>
      <c r="AA64" s="38"/>
      <c r="AB64" s="38"/>
      <c r="AC64" s="24" t="s">
        <v>38</v>
      </c>
      <c r="AD64" s="7" t="s">
        <v>40</v>
      </c>
    </row>
    <row r="65" ht="14.25">
      <c r="A65" s="7" t="str">
        <f>"006/137/"&amp;TEXT(ROW()-1,"00")&amp;"/"&amp;MID(TEXT(D65,"0000-0000"),3,2)&amp;"-"&amp;MID(TEXT(D65,"0000-0000"),8,2)</f>
        <v>006/137/64/20-21</v>
      </c>
      <c r="B65" s="24" t="s">
        <v>170</v>
      </c>
      <c r="C65" s="25" t="s">
        <v>31</v>
      </c>
      <c r="D65" s="24" t="s">
        <v>51</v>
      </c>
      <c r="E65" s="10" t="s">
        <v>33</v>
      </c>
      <c r="F65" s="10">
        <v>0</v>
      </c>
      <c r="H65" s="12" t="s">
        <v>35</v>
      </c>
      <c r="L65" s="13" t="s">
        <v>36</v>
      </c>
      <c r="P65" s="13">
        <v>0</v>
      </c>
      <c r="Q65" s="10">
        <v>100</v>
      </c>
      <c r="R65" s="10">
        <v>100</v>
      </c>
      <c r="S65" s="29" t="s">
        <v>171</v>
      </c>
      <c r="V65" s="24" t="s">
        <v>38</v>
      </c>
      <c r="W65" t="s">
        <v>159</v>
      </c>
      <c r="X65">
        <v>9624528</v>
      </c>
      <c r="Z65" s="12" t="s">
        <v>35</v>
      </c>
      <c r="AC65" s="24" t="s">
        <v>38</v>
      </c>
      <c r="AD65" s="7" t="s">
        <v>40</v>
      </c>
    </row>
    <row r="66" ht="14.25">
      <c r="A66" s="7" t="str">
        <f>"006/137/"&amp;TEXT(ROW()-1,"00")&amp;"/"&amp;MID(TEXT(D66,"0000-0000"),3,2)&amp;"-"&amp;MID(TEXT(D66,"0000-0000"),8,2)</f>
        <v>006/137/65/24-25</v>
      </c>
      <c r="B66" s="24" t="s">
        <v>170</v>
      </c>
      <c r="C66" s="25" t="s">
        <v>31</v>
      </c>
      <c r="D66" s="24" t="s">
        <v>54</v>
      </c>
      <c r="E66" s="10" t="s">
        <v>33</v>
      </c>
      <c r="F66" s="10">
        <v>0</v>
      </c>
      <c r="G66" s="38"/>
      <c r="H66" s="12" t="s">
        <v>35</v>
      </c>
      <c r="I66" s="38"/>
      <c r="J66" s="38"/>
      <c r="K66" s="38"/>
      <c r="L66" s="13" t="s">
        <v>36</v>
      </c>
      <c r="M66" s="38"/>
      <c r="N66" s="38"/>
      <c r="O66" s="38"/>
      <c r="P66" s="13">
        <v>0</v>
      </c>
      <c r="Q66" s="10">
        <v>100</v>
      </c>
      <c r="R66" s="10">
        <v>100</v>
      </c>
      <c r="S66" s="29" t="s">
        <v>171</v>
      </c>
      <c r="T66" s="38"/>
      <c r="U66" s="38"/>
      <c r="V66" s="24" t="s">
        <v>38</v>
      </c>
      <c r="W66" s="47" t="s">
        <v>159</v>
      </c>
      <c r="X66" s="47">
        <v>9624528</v>
      </c>
      <c r="Y66" s="38"/>
      <c r="Z66" s="12" t="s">
        <v>35</v>
      </c>
      <c r="AA66" s="38"/>
      <c r="AB66" s="38"/>
      <c r="AC66" s="24" t="s">
        <v>38</v>
      </c>
      <c r="AD66" s="7" t="s">
        <v>40</v>
      </c>
    </row>
    <row r="67" ht="14.25">
      <c r="A67" s="7" t="str">
        <f>"006/137/"&amp;TEXT(ROW()-1,"00")&amp;"/"&amp;MID(TEXT(D67,"0000-0000"),3,2)&amp;"-"&amp;MID(TEXT(D67,"0000-0000"),8,2)</f>
        <v>006/137/66/20-21</v>
      </c>
      <c r="B67" s="24" t="s">
        <v>172</v>
      </c>
      <c r="C67" s="25" t="s">
        <v>31</v>
      </c>
      <c r="D67" s="24" t="s">
        <v>51</v>
      </c>
      <c r="E67" s="10" t="s">
        <v>33</v>
      </c>
      <c r="F67" s="10">
        <v>0</v>
      </c>
      <c r="H67" s="12" t="s">
        <v>35</v>
      </c>
      <c r="L67" s="13" t="s">
        <v>36</v>
      </c>
      <c r="P67" s="13">
        <v>0</v>
      </c>
      <c r="Q67" s="10">
        <v>100</v>
      </c>
      <c r="R67" s="10">
        <v>100</v>
      </c>
      <c r="S67" s="29" t="s">
        <v>173</v>
      </c>
      <c r="V67" s="24" t="s">
        <v>38</v>
      </c>
      <c r="W67" t="s">
        <v>174</v>
      </c>
      <c r="X67">
        <v>9624622</v>
      </c>
      <c r="Z67" s="12" t="s">
        <v>35</v>
      </c>
      <c r="AC67" s="24" t="s">
        <v>38</v>
      </c>
      <c r="AD67" s="7" t="s">
        <v>40</v>
      </c>
    </row>
    <row r="68" ht="14.25">
      <c r="A68" s="7" t="str">
        <f>"006/137/"&amp;TEXT(ROW()-1,"00")&amp;"/"&amp;MID(TEXT(D68,"0000-0000"),3,2)&amp;"-"&amp;MID(TEXT(D68,"0000-0000"),8,2)</f>
        <v>006/137/67/24-25</v>
      </c>
      <c r="B68" s="24" t="s">
        <v>172</v>
      </c>
      <c r="C68" s="25" t="s">
        <v>31</v>
      </c>
      <c r="D68" s="24" t="s">
        <v>54</v>
      </c>
      <c r="E68" s="10" t="s">
        <v>33</v>
      </c>
      <c r="F68" s="10">
        <v>0</v>
      </c>
      <c r="G68" s="38"/>
      <c r="H68" s="12" t="s">
        <v>35</v>
      </c>
      <c r="I68" s="38"/>
      <c r="J68" s="38"/>
      <c r="K68" s="38"/>
      <c r="L68" s="13" t="s">
        <v>36</v>
      </c>
      <c r="M68" s="38"/>
      <c r="N68" s="38"/>
      <c r="O68" s="38"/>
      <c r="P68" s="13">
        <v>0</v>
      </c>
      <c r="Q68" s="10">
        <v>100</v>
      </c>
      <c r="R68" s="10">
        <v>100</v>
      </c>
      <c r="S68" s="29" t="s">
        <v>173</v>
      </c>
      <c r="T68" s="38"/>
      <c r="U68" s="38"/>
      <c r="V68" s="24" t="s">
        <v>38</v>
      </c>
      <c r="W68" s="47" t="s">
        <v>174</v>
      </c>
      <c r="X68" s="47">
        <v>9624622</v>
      </c>
      <c r="Y68" s="38"/>
      <c r="Z68" s="12" t="s">
        <v>35</v>
      </c>
      <c r="AA68" s="38"/>
      <c r="AB68" s="38"/>
      <c r="AC68" s="24" t="s">
        <v>38</v>
      </c>
      <c r="AD68" s="7" t="s">
        <v>40</v>
      </c>
    </row>
    <row r="69" ht="14.25">
      <c r="A69" s="7" t="str">
        <f>"006/137/"&amp;TEXT(ROW()-1,"00")&amp;"/"&amp;MID(TEXT(D69,"0000-0000"),3,2)&amp;"-"&amp;MID(TEXT(D69,"0000-0000"),8,2)</f>
        <v>006/137/68/17-18</v>
      </c>
      <c r="B69" s="24" t="s">
        <v>175</v>
      </c>
      <c r="C69" s="25" t="s">
        <v>31</v>
      </c>
      <c r="D69" s="24" t="s">
        <v>120</v>
      </c>
      <c r="E69" s="10" t="s">
        <v>33</v>
      </c>
      <c r="F69" s="10">
        <v>0</v>
      </c>
      <c r="H69" s="12" t="s">
        <v>35</v>
      </c>
      <c r="L69" s="13" t="s">
        <v>36</v>
      </c>
      <c r="P69" s="13">
        <v>0</v>
      </c>
      <c r="Q69" s="10">
        <v>100</v>
      </c>
      <c r="R69" s="10">
        <v>100</v>
      </c>
      <c r="S69" s="29" t="s">
        <v>108</v>
      </c>
      <c r="V69" s="24" t="s">
        <v>38</v>
      </c>
      <c r="W69" t="s">
        <v>174</v>
      </c>
      <c r="X69">
        <v>9624622</v>
      </c>
      <c r="Z69" s="12" t="s">
        <v>35</v>
      </c>
      <c r="AC69" s="24" t="s">
        <v>38</v>
      </c>
      <c r="AD69" s="7" t="s">
        <v>40</v>
      </c>
    </row>
    <row r="70" ht="14.25">
      <c r="A70" s="7" t="str">
        <f>"006/137/"&amp;TEXT(ROW()-1,"00")&amp;"/"&amp;MID(TEXT(D70,"0000-0000"),3,2)&amp;"-"&amp;MID(TEXT(D70,"0000-0000"),8,2)</f>
        <v>006/137/69/20-21</v>
      </c>
      <c r="B70" s="24" t="s">
        <v>176</v>
      </c>
      <c r="C70" s="25" t="s">
        <v>31</v>
      </c>
      <c r="D70" s="24" t="s">
        <v>51</v>
      </c>
      <c r="E70" s="10" t="s">
        <v>33</v>
      </c>
      <c r="F70" s="10">
        <v>0</v>
      </c>
      <c r="H70" s="12" t="s">
        <v>35</v>
      </c>
      <c r="L70" s="13" t="s">
        <v>36</v>
      </c>
      <c r="P70" s="13">
        <v>0</v>
      </c>
      <c r="Q70" s="10">
        <v>100</v>
      </c>
      <c r="R70" s="10">
        <v>100</v>
      </c>
      <c r="S70" s="29" t="s">
        <v>67</v>
      </c>
      <c r="V70" s="24" t="s">
        <v>38</v>
      </c>
      <c r="W70" t="s">
        <v>177</v>
      </c>
      <c r="X70">
        <v>9624729</v>
      </c>
      <c r="Z70" s="12" t="s">
        <v>35</v>
      </c>
      <c r="AC70" s="24" t="s">
        <v>38</v>
      </c>
      <c r="AD70" s="7" t="s">
        <v>40</v>
      </c>
    </row>
    <row r="71" ht="14.25">
      <c r="A71" s="7" t="str">
        <f>"006/137/"&amp;TEXT(ROW()-1,"00")&amp;"/"&amp;MID(TEXT(D71,"0000-0000"),3,2)&amp;"-"&amp;MID(TEXT(D71,"0000-0000"),8,2)</f>
        <v>006/137/70/24-25</v>
      </c>
      <c r="B71" s="24" t="s">
        <v>176</v>
      </c>
      <c r="C71" s="25" t="s">
        <v>31</v>
      </c>
      <c r="D71" s="24" t="s">
        <v>54</v>
      </c>
      <c r="E71" s="10" t="s">
        <v>33</v>
      </c>
      <c r="F71" s="10">
        <v>0</v>
      </c>
      <c r="G71" s="38"/>
      <c r="H71" s="12" t="s">
        <v>35</v>
      </c>
      <c r="I71" s="38"/>
      <c r="J71" s="38"/>
      <c r="K71" s="38"/>
      <c r="L71" s="13" t="s">
        <v>36</v>
      </c>
      <c r="M71" s="38"/>
      <c r="N71" s="38"/>
      <c r="O71" s="38"/>
      <c r="P71" s="13">
        <v>0</v>
      </c>
      <c r="Q71" s="10">
        <v>100</v>
      </c>
      <c r="R71" s="10">
        <v>100</v>
      </c>
      <c r="S71" s="29" t="s">
        <v>67</v>
      </c>
      <c r="T71" s="38"/>
      <c r="U71" s="38"/>
      <c r="V71" s="24" t="s">
        <v>38</v>
      </c>
      <c r="W71" s="47" t="s">
        <v>177</v>
      </c>
      <c r="X71" s="47">
        <v>9624729</v>
      </c>
      <c r="Y71" s="38"/>
      <c r="Z71" s="12" t="s">
        <v>35</v>
      </c>
      <c r="AA71" s="38"/>
      <c r="AB71" s="38"/>
      <c r="AC71" s="24" t="s">
        <v>38</v>
      </c>
      <c r="AD71" s="7" t="s">
        <v>40</v>
      </c>
    </row>
    <row r="72" ht="14.25">
      <c r="A72" s="7" t="str">
        <f>"006/137/"&amp;TEXT(ROW()-1,"00")&amp;"/"&amp;MID(TEXT(D72,"0000-0000"),3,2)&amp;"-"&amp;MID(TEXT(D72,"0000-0000"),8,2)</f>
        <v>006/137/71/20-21</v>
      </c>
      <c r="B72" s="24" t="s">
        <v>178</v>
      </c>
      <c r="C72" s="25" t="s">
        <v>31</v>
      </c>
      <c r="D72" s="24" t="s">
        <v>51</v>
      </c>
      <c r="E72" s="10" t="s">
        <v>33</v>
      </c>
      <c r="F72" s="10">
        <v>0</v>
      </c>
      <c r="H72" s="12" t="s">
        <v>35</v>
      </c>
      <c r="L72" s="13" t="s">
        <v>36</v>
      </c>
      <c r="P72" s="13">
        <v>0</v>
      </c>
      <c r="Q72" s="10">
        <v>100</v>
      </c>
      <c r="R72" s="10">
        <v>100</v>
      </c>
      <c r="S72" s="29" t="s">
        <v>153</v>
      </c>
      <c r="V72" s="24" t="s">
        <v>38</v>
      </c>
      <c r="W72" t="s">
        <v>179</v>
      </c>
      <c r="X72">
        <v>9625082</v>
      </c>
      <c r="Z72" s="12" t="s">
        <v>35</v>
      </c>
      <c r="AC72" s="24" t="s">
        <v>38</v>
      </c>
      <c r="AD72" s="7" t="s">
        <v>40</v>
      </c>
    </row>
    <row r="73" ht="14.25">
      <c r="A73" s="7" t="str">
        <f>"006/137/"&amp;TEXT(ROW()-1,"00")&amp;"/"&amp;MID(TEXT(D73,"0000-0000"),3,2)&amp;"-"&amp;MID(TEXT(D73,"0000-0000"),8,2)</f>
        <v>006/137/72/24-25</v>
      </c>
      <c r="B73" s="24" t="s">
        <v>178</v>
      </c>
      <c r="C73" s="25" t="s">
        <v>31</v>
      </c>
      <c r="D73" s="24" t="s">
        <v>54</v>
      </c>
      <c r="E73" s="10" t="s">
        <v>33</v>
      </c>
      <c r="F73" s="10">
        <v>0</v>
      </c>
      <c r="G73" s="38"/>
      <c r="H73" s="12" t="s">
        <v>35</v>
      </c>
      <c r="I73" s="38"/>
      <c r="J73" s="38"/>
      <c r="K73" s="38"/>
      <c r="L73" s="13" t="s">
        <v>36</v>
      </c>
      <c r="M73" s="38"/>
      <c r="N73" s="38"/>
      <c r="O73" s="38"/>
      <c r="P73" s="13">
        <v>0</v>
      </c>
      <c r="Q73" s="10">
        <v>100</v>
      </c>
      <c r="R73" s="10">
        <v>100</v>
      </c>
      <c r="S73" s="29" t="s">
        <v>153</v>
      </c>
      <c r="T73" s="38"/>
      <c r="U73" s="38"/>
      <c r="V73" s="24" t="s">
        <v>38</v>
      </c>
      <c r="W73" s="47" t="s">
        <v>179</v>
      </c>
      <c r="X73" s="47">
        <v>9625082</v>
      </c>
      <c r="Y73" s="38"/>
      <c r="Z73" s="12" t="s">
        <v>35</v>
      </c>
      <c r="AA73" s="38"/>
      <c r="AB73" s="38"/>
      <c r="AC73" s="24" t="s">
        <v>38</v>
      </c>
      <c r="AD73" s="7" t="s">
        <v>40</v>
      </c>
    </row>
    <row r="74" ht="14.25">
      <c r="A74" s="7" t="str">
        <f>"006/137/"&amp;TEXT(ROW()-1,"00")&amp;"/"&amp;MID(TEXT(D74,"0000-0000"),3,2)&amp;"-"&amp;MID(TEXT(D74,"0000-0000"),8,2)</f>
        <v>006/137/73/14-15</v>
      </c>
      <c r="B74" s="24" t="s">
        <v>180</v>
      </c>
      <c r="C74" s="25" t="s">
        <v>31</v>
      </c>
      <c r="D74" s="24" t="s">
        <v>111</v>
      </c>
      <c r="E74" s="10" t="s">
        <v>33</v>
      </c>
      <c r="F74" s="10">
        <v>0</v>
      </c>
      <c r="H74" s="12" t="s">
        <v>35</v>
      </c>
      <c r="L74" s="13" t="s">
        <v>36</v>
      </c>
      <c r="P74" s="13">
        <v>0</v>
      </c>
      <c r="Q74" s="10">
        <v>100</v>
      </c>
      <c r="R74" s="10">
        <v>100</v>
      </c>
      <c r="S74" s="29" t="s">
        <v>161</v>
      </c>
      <c r="V74" s="24" t="s">
        <v>38</v>
      </c>
      <c r="W74" t="s">
        <v>179</v>
      </c>
      <c r="X74">
        <v>9625082</v>
      </c>
      <c r="Z74" s="12" t="s">
        <v>35</v>
      </c>
      <c r="AC74" s="24" t="s">
        <v>38</v>
      </c>
      <c r="AD74" s="7" t="s">
        <v>40</v>
      </c>
    </row>
    <row r="75" ht="14.25">
      <c r="A75" s="7" t="str">
        <f>"006/137/"&amp;TEXT(ROW()-1,"00")&amp;"/"&amp;MID(TEXT(D75,"0000-0000"),3,2)&amp;"-"&amp;MID(TEXT(D75,"0000-0000"),8,2)</f>
        <v>006/137/74/20-21</v>
      </c>
      <c r="B75" s="24" t="s">
        <v>181</v>
      </c>
      <c r="C75" s="25" t="s">
        <v>31</v>
      </c>
      <c r="D75" s="24" t="s">
        <v>51</v>
      </c>
      <c r="E75" s="10" t="s">
        <v>33</v>
      </c>
      <c r="F75" s="10">
        <v>0</v>
      </c>
      <c r="H75" s="12" t="s">
        <v>35</v>
      </c>
      <c r="L75" s="13" t="s">
        <v>36</v>
      </c>
      <c r="P75" s="13">
        <v>0</v>
      </c>
      <c r="Q75" s="10">
        <v>100</v>
      </c>
      <c r="R75" s="10">
        <v>100</v>
      </c>
      <c r="S75" s="29" t="s">
        <v>108</v>
      </c>
      <c r="V75" s="24" t="s">
        <v>38</v>
      </c>
      <c r="W75" t="s">
        <v>182</v>
      </c>
      <c r="X75">
        <v>9625139</v>
      </c>
      <c r="Z75" s="12" t="s">
        <v>35</v>
      </c>
      <c r="AC75" s="24" t="s">
        <v>38</v>
      </c>
      <c r="AD75" s="7" t="s">
        <v>40</v>
      </c>
    </row>
    <row r="76" ht="14.25">
      <c r="A76" s="7" t="str">
        <f>"006/137/"&amp;TEXT(ROW()-1,"00")&amp;"/"&amp;MID(TEXT(D76,"0000-0000"),3,2)&amp;"-"&amp;MID(TEXT(D76,"0000-0000"),8,2)</f>
        <v>006/137/75/24-25</v>
      </c>
      <c r="B76" s="24" t="s">
        <v>181</v>
      </c>
      <c r="C76" s="25" t="s">
        <v>31</v>
      </c>
      <c r="D76" s="24" t="s">
        <v>54</v>
      </c>
      <c r="E76" s="10" t="s">
        <v>33</v>
      </c>
      <c r="F76" s="10">
        <v>0</v>
      </c>
      <c r="G76" s="38"/>
      <c r="H76" s="12" t="s">
        <v>35</v>
      </c>
      <c r="I76" s="38"/>
      <c r="J76" s="38"/>
      <c r="K76" s="38"/>
      <c r="L76" s="13" t="s">
        <v>36</v>
      </c>
      <c r="M76" s="38"/>
      <c r="N76" s="38"/>
      <c r="O76" s="38"/>
      <c r="P76" s="13">
        <v>0</v>
      </c>
      <c r="Q76" s="10">
        <v>100</v>
      </c>
      <c r="R76" s="10">
        <v>100</v>
      </c>
      <c r="S76" s="29" t="s">
        <v>108</v>
      </c>
      <c r="T76" s="38"/>
      <c r="U76" s="38"/>
      <c r="V76" s="24" t="s">
        <v>38</v>
      </c>
      <c r="W76" s="47" t="s">
        <v>182</v>
      </c>
      <c r="X76" s="47">
        <v>9625139</v>
      </c>
      <c r="Y76" s="38"/>
      <c r="Z76" s="12" t="s">
        <v>35</v>
      </c>
      <c r="AA76" s="38"/>
      <c r="AB76" s="38"/>
      <c r="AC76" s="24" t="s">
        <v>38</v>
      </c>
      <c r="AD76" s="7" t="s">
        <v>40</v>
      </c>
    </row>
    <row r="77" ht="14.25">
      <c r="A77" s="7" t="str">
        <f>"006/137/"&amp;TEXT(ROW()-1,"00")&amp;"/"&amp;MID(TEXT(D77,"0000-0000"),3,2)&amp;"-"&amp;MID(TEXT(D77,"0000-0000"),8,2)</f>
        <v>006/137/76/16-17</v>
      </c>
      <c r="B77" s="24" t="s">
        <v>183</v>
      </c>
      <c r="C77" s="25" t="s">
        <v>31</v>
      </c>
      <c r="D77" s="24" t="s">
        <v>59</v>
      </c>
      <c r="E77" s="10" t="s">
        <v>33</v>
      </c>
      <c r="F77" s="10">
        <v>0</v>
      </c>
      <c r="H77" s="12" t="s">
        <v>35</v>
      </c>
      <c r="L77" s="13" t="s">
        <v>36</v>
      </c>
      <c r="P77" s="13">
        <v>0</v>
      </c>
      <c r="Q77" s="10">
        <v>100</v>
      </c>
      <c r="R77" s="10">
        <v>100</v>
      </c>
      <c r="S77" s="29" t="s">
        <v>184</v>
      </c>
      <c r="V77" s="24" t="s">
        <v>38</v>
      </c>
      <c r="W77" t="s">
        <v>185</v>
      </c>
      <c r="X77">
        <v>9625609</v>
      </c>
      <c r="Z77" s="12" t="s">
        <v>35</v>
      </c>
      <c r="AC77" s="24" t="s">
        <v>38</v>
      </c>
      <c r="AD77" s="7" t="s">
        <v>40</v>
      </c>
    </row>
    <row r="78" ht="14.25">
      <c r="A78" s="7" t="str">
        <f>"006/137/"&amp;TEXT(ROW()-1,"00")&amp;"/"&amp;MID(TEXT(D78,"0000-0000"),3,2)&amp;"-"&amp;MID(TEXT(D78,"0000-0000"),8,2)</f>
        <v>006/137/77/16-17</v>
      </c>
      <c r="B78" s="24" t="s">
        <v>186</v>
      </c>
      <c r="C78" s="25" t="s">
        <v>31</v>
      </c>
      <c r="D78" s="24" t="s">
        <v>59</v>
      </c>
      <c r="E78" s="10" t="s">
        <v>33</v>
      </c>
      <c r="F78" s="10">
        <v>0</v>
      </c>
      <c r="H78" s="12" t="s">
        <v>35</v>
      </c>
      <c r="L78" s="13" t="s">
        <v>36</v>
      </c>
      <c r="P78" s="13">
        <v>0</v>
      </c>
      <c r="Q78" s="10">
        <v>100</v>
      </c>
      <c r="R78" s="10">
        <v>100</v>
      </c>
      <c r="S78" s="29" t="s">
        <v>187</v>
      </c>
      <c r="V78" s="24" t="s">
        <v>38</v>
      </c>
      <c r="W78" t="s">
        <v>188</v>
      </c>
      <c r="X78">
        <v>9624765</v>
      </c>
      <c r="Z78" s="12" t="s">
        <v>35</v>
      </c>
      <c r="AC78" s="24" t="s">
        <v>38</v>
      </c>
      <c r="AD78" s="7" t="s">
        <v>40</v>
      </c>
    </row>
    <row r="79" ht="14.25">
      <c r="A79" s="7" t="str">
        <f>"006/137/"&amp;TEXT(ROW()-1,"00")&amp;"/"&amp;MID(TEXT(D79,"0000-0000"),3,2)&amp;"-"&amp;MID(TEXT(D79,"0000-0000"),8,2)</f>
        <v>006/137/78/20-21</v>
      </c>
      <c r="B79" s="24" t="s">
        <v>189</v>
      </c>
      <c r="C79" s="25" t="s">
        <v>31</v>
      </c>
      <c r="D79" s="24" t="s">
        <v>51</v>
      </c>
      <c r="E79" s="10" t="s">
        <v>33</v>
      </c>
      <c r="F79" s="10">
        <v>0</v>
      </c>
      <c r="H79" s="12" t="s">
        <v>35</v>
      </c>
      <c r="L79" s="13" t="s">
        <v>36</v>
      </c>
      <c r="P79" s="13">
        <v>0</v>
      </c>
      <c r="Q79" s="10">
        <v>100</v>
      </c>
      <c r="R79" s="10">
        <v>100</v>
      </c>
      <c r="S79" s="29" t="s">
        <v>190</v>
      </c>
      <c r="V79" s="24" t="s">
        <v>38</v>
      </c>
      <c r="W79" t="s">
        <v>191</v>
      </c>
      <c r="X79">
        <v>9624809</v>
      </c>
      <c r="Z79" s="12" t="s">
        <v>35</v>
      </c>
      <c r="AC79" s="24" t="s">
        <v>38</v>
      </c>
      <c r="AD79" s="7" t="s">
        <v>40</v>
      </c>
    </row>
    <row r="80" ht="14.25">
      <c r="A80" s="7" t="str">
        <f>"006/137/"&amp;TEXT(ROW()-1,"00")&amp;"/"&amp;MID(TEXT(D80,"0000-0000"),3,2)&amp;"-"&amp;MID(TEXT(D80,"0000-0000"),8,2)</f>
        <v>006/137/79/24-25</v>
      </c>
      <c r="B80" s="24" t="s">
        <v>189</v>
      </c>
      <c r="C80" s="25" t="s">
        <v>31</v>
      </c>
      <c r="D80" s="24" t="s">
        <v>54</v>
      </c>
      <c r="E80" s="10" t="s">
        <v>33</v>
      </c>
      <c r="F80" s="10">
        <v>0</v>
      </c>
      <c r="G80" s="38"/>
      <c r="H80" s="12" t="s">
        <v>35</v>
      </c>
      <c r="I80" s="38"/>
      <c r="J80" s="38"/>
      <c r="K80" s="38"/>
      <c r="L80" s="13" t="s">
        <v>36</v>
      </c>
      <c r="M80" s="38"/>
      <c r="N80" s="38"/>
      <c r="O80" s="38"/>
      <c r="P80" s="13">
        <v>0</v>
      </c>
      <c r="Q80" s="10">
        <v>100</v>
      </c>
      <c r="R80" s="10">
        <v>100</v>
      </c>
      <c r="S80" s="29" t="s">
        <v>190</v>
      </c>
      <c r="T80" s="38"/>
      <c r="U80" s="38"/>
      <c r="V80" s="24" t="s">
        <v>38</v>
      </c>
      <c r="W80" s="47" t="s">
        <v>191</v>
      </c>
      <c r="X80" s="47">
        <v>9624809</v>
      </c>
      <c r="Y80" s="38"/>
      <c r="Z80" s="12" t="s">
        <v>35</v>
      </c>
      <c r="AA80" s="38"/>
      <c r="AB80" s="38"/>
      <c r="AC80" s="24" t="s">
        <v>38</v>
      </c>
      <c r="AD80" s="7" t="s">
        <v>40</v>
      </c>
    </row>
    <row r="81" ht="14.25">
      <c r="A81" s="7" t="str">
        <f>"006/137/"&amp;TEXT(ROW()-1,"00")&amp;"/"&amp;MID(TEXT(D81,"0000-0000"),3,2)&amp;"-"&amp;MID(TEXT(D81,"0000-0000"),8,2)</f>
        <v>006/137/80/20-21</v>
      </c>
      <c r="B81" s="24" t="s">
        <v>192</v>
      </c>
      <c r="C81" s="25" t="s">
        <v>31</v>
      </c>
      <c r="D81" s="24" t="s">
        <v>51</v>
      </c>
      <c r="E81" s="10" t="s">
        <v>33</v>
      </c>
      <c r="F81" s="10">
        <v>0</v>
      </c>
      <c r="H81" s="12" t="s">
        <v>35</v>
      </c>
      <c r="L81" s="13" t="s">
        <v>36</v>
      </c>
      <c r="P81" s="13">
        <v>0</v>
      </c>
      <c r="Q81" s="10">
        <v>100</v>
      </c>
      <c r="R81" s="10">
        <v>100</v>
      </c>
      <c r="S81" s="29" t="s">
        <v>193</v>
      </c>
      <c r="V81" s="24" t="s">
        <v>38</v>
      </c>
      <c r="W81" t="s">
        <v>194</v>
      </c>
      <c r="X81">
        <v>9624842</v>
      </c>
      <c r="Z81" s="12" t="s">
        <v>35</v>
      </c>
      <c r="AC81" s="24" t="s">
        <v>38</v>
      </c>
      <c r="AD81" s="7" t="s">
        <v>40</v>
      </c>
    </row>
    <row r="82" ht="14.25">
      <c r="A82" s="7" t="str">
        <f>"006/137/"&amp;TEXT(ROW()-1,"00")&amp;"/"&amp;MID(TEXT(D82,"0000-0000"),3,2)&amp;"-"&amp;MID(TEXT(D82,"0000-0000"),8,2)</f>
        <v>006/137/81/24-25</v>
      </c>
      <c r="B82" s="24" t="s">
        <v>192</v>
      </c>
      <c r="C82" s="25" t="s">
        <v>31</v>
      </c>
      <c r="D82" s="24" t="s">
        <v>54</v>
      </c>
      <c r="E82" s="10" t="s">
        <v>33</v>
      </c>
      <c r="F82" s="10">
        <v>0</v>
      </c>
      <c r="G82" s="38"/>
      <c r="H82" s="12" t="s">
        <v>35</v>
      </c>
      <c r="I82" s="38"/>
      <c r="J82" s="38"/>
      <c r="K82" s="38"/>
      <c r="L82" s="13" t="s">
        <v>36</v>
      </c>
      <c r="M82" s="38"/>
      <c r="N82" s="38"/>
      <c r="O82" s="38"/>
      <c r="P82" s="13">
        <v>0</v>
      </c>
      <c r="Q82" s="10">
        <v>100</v>
      </c>
      <c r="R82" s="10">
        <v>100</v>
      </c>
      <c r="S82" s="29" t="s">
        <v>193</v>
      </c>
      <c r="T82" s="38"/>
      <c r="U82" s="38"/>
      <c r="V82" s="24" t="s">
        <v>38</v>
      </c>
      <c r="W82" s="47" t="s">
        <v>194</v>
      </c>
      <c r="X82" s="47">
        <v>9624842</v>
      </c>
      <c r="Y82" s="38"/>
      <c r="Z82" s="12" t="s">
        <v>35</v>
      </c>
      <c r="AA82" s="38"/>
      <c r="AB82" s="38"/>
      <c r="AC82" s="24" t="s">
        <v>38</v>
      </c>
      <c r="AD82" s="7" t="s">
        <v>40</v>
      </c>
    </row>
    <row r="83" ht="14.25">
      <c r="A83" s="7" t="str">
        <f>"006/137/"&amp;TEXT(ROW()-1,"00")&amp;"/"&amp;MID(TEXT(D83,"0000-0000"),3,2)&amp;"-"&amp;MID(TEXT(D83,"0000-0000"),8,2)</f>
        <v>006/137/82/20-21</v>
      </c>
      <c r="B83" s="24" t="s">
        <v>195</v>
      </c>
      <c r="C83" s="25" t="s">
        <v>31</v>
      </c>
      <c r="D83" s="24" t="s">
        <v>51</v>
      </c>
      <c r="E83" s="10" t="s">
        <v>33</v>
      </c>
      <c r="F83" s="10">
        <v>0</v>
      </c>
      <c r="H83" s="12" t="s">
        <v>35</v>
      </c>
      <c r="L83" s="13" t="s">
        <v>36</v>
      </c>
      <c r="P83" s="13">
        <v>0</v>
      </c>
      <c r="Q83" s="10">
        <v>100</v>
      </c>
      <c r="R83" s="10">
        <v>100</v>
      </c>
      <c r="S83" s="29" t="s">
        <v>196</v>
      </c>
      <c r="V83" s="24" t="s">
        <v>38</v>
      </c>
      <c r="W83" t="s">
        <v>194</v>
      </c>
      <c r="X83">
        <v>9624842</v>
      </c>
      <c r="Z83" s="12" t="s">
        <v>35</v>
      </c>
      <c r="AC83" s="24" t="s">
        <v>38</v>
      </c>
      <c r="AD83" s="7" t="s">
        <v>40</v>
      </c>
    </row>
    <row r="84" ht="14.25">
      <c r="A84" s="7" t="str">
        <f>"006/137/"&amp;TEXT(ROW()-1,"00")&amp;"/"&amp;MID(TEXT(D84,"0000-0000"),3,2)&amp;"-"&amp;MID(TEXT(D84,"0000-0000"),8,2)</f>
        <v>006/137/83/24-25</v>
      </c>
      <c r="B84" s="24" t="s">
        <v>195</v>
      </c>
      <c r="C84" s="25" t="s">
        <v>31</v>
      </c>
      <c r="D84" s="24" t="s">
        <v>54</v>
      </c>
      <c r="E84" s="10" t="s">
        <v>33</v>
      </c>
      <c r="F84" s="10">
        <v>0</v>
      </c>
      <c r="G84" s="38"/>
      <c r="H84" s="12" t="s">
        <v>35</v>
      </c>
      <c r="I84" s="38"/>
      <c r="J84" s="38"/>
      <c r="K84" s="38"/>
      <c r="L84" s="13" t="s">
        <v>36</v>
      </c>
      <c r="M84" s="38"/>
      <c r="N84" s="38"/>
      <c r="O84" s="38"/>
      <c r="P84" s="13">
        <v>0</v>
      </c>
      <c r="Q84" s="10">
        <v>100</v>
      </c>
      <c r="R84" s="10">
        <v>100</v>
      </c>
      <c r="S84" s="29" t="s">
        <v>196</v>
      </c>
      <c r="T84" s="38"/>
      <c r="U84" s="38"/>
      <c r="V84" s="24" t="s">
        <v>38</v>
      </c>
      <c r="W84" s="47" t="s">
        <v>194</v>
      </c>
      <c r="X84" s="47">
        <v>9624842</v>
      </c>
      <c r="Y84" s="38"/>
      <c r="Z84" s="12" t="s">
        <v>35</v>
      </c>
      <c r="AA84" s="38"/>
      <c r="AB84" s="38"/>
      <c r="AC84" s="24" t="s">
        <v>38</v>
      </c>
      <c r="AD84" s="7" t="s">
        <v>40</v>
      </c>
    </row>
    <row r="85" ht="14.25">
      <c r="A85" s="7" t="str">
        <f>"006/137/"&amp;TEXT(ROW()-1,"00")&amp;"/"&amp;MID(TEXT(D85,"0000-0000"),3,2)&amp;"-"&amp;MID(TEXT(D85,"0000-0000"),8,2)</f>
        <v>006/137/84/20-21</v>
      </c>
      <c r="B85" s="24" t="s">
        <v>197</v>
      </c>
      <c r="C85" s="25" t="s">
        <v>31</v>
      </c>
      <c r="D85" s="24" t="s">
        <v>51</v>
      </c>
      <c r="E85" s="10" t="s">
        <v>33</v>
      </c>
      <c r="F85" s="10">
        <v>0</v>
      </c>
      <c r="H85" s="12" t="s">
        <v>35</v>
      </c>
      <c r="L85" s="13" t="s">
        <v>36</v>
      </c>
      <c r="P85" s="13">
        <v>0</v>
      </c>
      <c r="Q85" s="10">
        <v>100</v>
      </c>
      <c r="R85" s="10">
        <v>100</v>
      </c>
      <c r="S85" s="29" t="s">
        <v>198</v>
      </c>
      <c r="V85" s="24" t="s">
        <v>38</v>
      </c>
      <c r="W85" t="s">
        <v>199</v>
      </c>
      <c r="X85">
        <v>9624897</v>
      </c>
      <c r="Z85" s="12" t="s">
        <v>35</v>
      </c>
      <c r="AC85" s="24" t="s">
        <v>38</v>
      </c>
      <c r="AD85" s="7" t="s">
        <v>40</v>
      </c>
    </row>
    <row r="86" ht="14.25">
      <c r="A86" s="7" t="str">
        <f>"006/137/"&amp;TEXT(ROW()-1,"00")&amp;"/"&amp;MID(TEXT(D86,"0000-0000"),3,2)&amp;"-"&amp;MID(TEXT(D86,"0000-0000"),8,2)</f>
        <v>006/137/85/24-25</v>
      </c>
      <c r="B86" s="24" t="s">
        <v>197</v>
      </c>
      <c r="C86" s="25" t="s">
        <v>31</v>
      </c>
      <c r="D86" s="24" t="s">
        <v>54</v>
      </c>
      <c r="E86" s="10" t="s">
        <v>33</v>
      </c>
      <c r="F86" s="10">
        <v>0</v>
      </c>
      <c r="G86" s="38"/>
      <c r="H86" s="12" t="s">
        <v>35</v>
      </c>
      <c r="I86" s="38"/>
      <c r="J86" s="38"/>
      <c r="K86" s="38"/>
      <c r="L86" s="13" t="s">
        <v>36</v>
      </c>
      <c r="M86" s="38"/>
      <c r="N86" s="38"/>
      <c r="O86" s="38"/>
      <c r="P86" s="13">
        <v>0</v>
      </c>
      <c r="Q86" s="10">
        <v>100</v>
      </c>
      <c r="R86" s="10">
        <v>100</v>
      </c>
      <c r="S86" s="29" t="s">
        <v>198</v>
      </c>
      <c r="T86" s="38"/>
      <c r="U86" s="38"/>
      <c r="V86" s="24" t="s">
        <v>38</v>
      </c>
      <c r="W86" s="47" t="s">
        <v>199</v>
      </c>
      <c r="X86" s="47">
        <v>9624897</v>
      </c>
      <c r="Y86" s="38"/>
      <c r="Z86" s="12" t="s">
        <v>35</v>
      </c>
      <c r="AA86" s="38"/>
      <c r="AB86" s="38"/>
      <c r="AC86" s="24" t="s">
        <v>38</v>
      </c>
      <c r="AD86" s="7" t="s">
        <v>40</v>
      </c>
    </row>
    <row r="87" ht="14.25">
      <c r="A87" s="7" t="str">
        <f>"006/137/"&amp;TEXT(ROW()-1,"00")&amp;"/"&amp;MID(TEXT(D87,"0000-0000"),3,2)&amp;"-"&amp;MID(TEXT(D87,"0000-0000"),8,2)</f>
        <v>006/137/86/20-21</v>
      </c>
      <c r="B87" s="24" t="s">
        <v>200</v>
      </c>
      <c r="C87" s="25" t="s">
        <v>31</v>
      </c>
      <c r="D87" s="24" t="s">
        <v>51</v>
      </c>
      <c r="E87" s="10" t="s">
        <v>33</v>
      </c>
      <c r="F87" s="10">
        <v>0</v>
      </c>
      <c r="H87" s="12" t="s">
        <v>35</v>
      </c>
      <c r="L87" s="13" t="s">
        <v>36</v>
      </c>
      <c r="P87" s="13">
        <v>0</v>
      </c>
      <c r="Q87" s="10">
        <v>100</v>
      </c>
      <c r="R87" s="10">
        <v>100</v>
      </c>
      <c r="S87" s="29" t="s">
        <v>201</v>
      </c>
      <c r="V87" s="24" t="s">
        <v>38</v>
      </c>
      <c r="W87" t="s">
        <v>199</v>
      </c>
      <c r="X87">
        <v>9624897</v>
      </c>
      <c r="Z87" s="12" t="s">
        <v>35</v>
      </c>
      <c r="AC87" s="24" t="s">
        <v>38</v>
      </c>
      <c r="AD87" s="7" t="s">
        <v>40</v>
      </c>
    </row>
    <row r="88" ht="14.25">
      <c r="A88" s="7" t="str">
        <f>"006/137/"&amp;TEXT(ROW()-1,"00")&amp;"/"&amp;MID(TEXT(D88,"0000-0000"),3,2)&amp;"-"&amp;MID(TEXT(D88,"0000-0000"),8,2)</f>
        <v>006/137/87/24-25</v>
      </c>
      <c r="B88" s="24" t="s">
        <v>200</v>
      </c>
      <c r="C88" s="25" t="s">
        <v>31</v>
      </c>
      <c r="D88" s="24" t="s">
        <v>54</v>
      </c>
      <c r="E88" s="10" t="s">
        <v>33</v>
      </c>
      <c r="F88" s="10">
        <v>0</v>
      </c>
      <c r="G88" s="38"/>
      <c r="H88" s="12" t="s">
        <v>35</v>
      </c>
      <c r="I88" s="38"/>
      <c r="J88" s="38"/>
      <c r="K88" s="38"/>
      <c r="L88" s="13" t="s">
        <v>36</v>
      </c>
      <c r="M88" s="38"/>
      <c r="N88" s="38"/>
      <c r="O88" s="38"/>
      <c r="P88" s="13">
        <v>0</v>
      </c>
      <c r="Q88" s="10">
        <v>100</v>
      </c>
      <c r="R88" s="10">
        <v>100</v>
      </c>
      <c r="S88" s="29" t="s">
        <v>201</v>
      </c>
      <c r="T88" s="38"/>
      <c r="U88" s="38"/>
      <c r="V88" s="24" t="s">
        <v>38</v>
      </c>
      <c r="W88" s="47" t="s">
        <v>199</v>
      </c>
      <c r="X88" s="47">
        <v>9624897</v>
      </c>
      <c r="Y88" s="38"/>
      <c r="Z88" s="12" t="s">
        <v>35</v>
      </c>
      <c r="AA88" s="38"/>
      <c r="AB88" s="38"/>
      <c r="AC88" s="24" t="s">
        <v>38</v>
      </c>
      <c r="AD88" s="7" t="s">
        <v>40</v>
      </c>
    </row>
    <row r="89" ht="14.25">
      <c r="A89" s="7" t="str">
        <f>"006/137/"&amp;TEXT(ROW()-1,"00")&amp;"/"&amp;MID(TEXT(D89,"0000-0000"),3,2)&amp;"-"&amp;MID(TEXT(D89,"0000-0000"),8,2)</f>
        <v>006/137/88/20-21</v>
      </c>
      <c r="B89" s="24" t="s">
        <v>202</v>
      </c>
      <c r="C89" s="25" t="s">
        <v>31</v>
      </c>
      <c r="D89" s="24" t="s">
        <v>51</v>
      </c>
      <c r="E89" s="10" t="s">
        <v>33</v>
      </c>
      <c r="F89" s="10">
        <v>0</v>
      </c>
      <c r="H89" s="12" t="s">
        <v>35</v>
      </c>
      <c r="L89" s="13" t="s">
        <v>36</v>
      </c>
      <c r="P89" s="13">
        <v>0</v>
      </c>
      <c r="Q89" s="10">
        <v>100</v>
      </c>
      <c r="R89" s="10">
        <v>100</v>
      </c>
      <c r="S89" s="29" t="s">
        <v>203</v>
      </c>
      <c r="V89" s="24" t="s">
        <v>38</v>
      </c>
      <c r="W89" t="s">
        <v>199</v>
      </c>
      <c r="X89">
        <v>9624897</v>
      </c>
      <c r="Z89" s="12" t="s">
        <v>35</v>
      </c>
      <c r="AC89" s="24" t="s">
        <v>38</v>
      </c>
      <c r="AD89" s="7" t="s">
        <v>40</v>
      </c>
    </row>
    <row r="90" ht="14.25">
      <c r="A90" s="7" t="str">
        <f>"006/137/"&amp;TEXT(ROW()-1,"00")&amp;"/"&amp;MID(TEXT(D90,"0000-0000"),3,2)&amp;"-"&amp;MID(TEXT(D90,"0000-0000"),8,2)</f>
        <v>006/137/89/24-25</v>
      </c>
      <c r="B90" s="24" t="s">
        <v>202</v>
      </c>
      <c r="C90" s="25" t="s">
        <v>31</v>
      </c>
      <c r="D90" s="24" t="s">
        <v>54</v>
      </c>
      <c r="E90" s="10" t="s">
        <v>33</v>
      </c>
      <c r="F90" s="10">
        <v>0</v>
      </c>
      <c r="G90" s="38"/>
      <c r="H90" s="12" t="s">
        <v>35</v>
      </c>
      <c r="I90" s="38"/>
      <c r="J90" s="38"/>
      <c r="K90" s="38"/>
      <c r="L90" s="13" t="s">
        <v>36</v>
      </c>
      <c r="M90" s="38"/>
      <c r="N90" s="38"/>
      <c r="O90" s="38"/>
      <c r="P90" s="13">
        <v>0</v>
      </c>
      <c r="Q90" s="10">
        <v>100</v>
      </c>
      <c r="R90" s="10">
        <v>100</v>
      </c>
      <c r="S90" s="29" t="s">
        <v>203</v>
      </c>
      <c r="T90" s="38"/>
      <c r="U90" s="38"/>
      <c r="V90" s="24" t="s">
        <v>38</v>
      </c>
      <c r="W90" s="47" t="s">
        <v>199</v>
      </c>
      <c r="X90" s="47">
        <v>9624897</v>
      </c>
      <c r="Y90" s="38"/>
      <c r="Z90" s="12" t="s">
        <v>35</v>
      </c>
      <c r="AA90" s="38"/>
      <c r="AB90" s="38"/>
      <c r="AC90" s="24" t="s">
        <v>38</v>
      </c>
      <c r="AD90" s="7" t="s">
        <v>40</v>
      </c>
    </row>
    <row r="91" ht="14.25">
      <c r="A91" s="7" t="str">
        <f>"006/137/"&amp;TEXT(ROW()-1,"00")&amp;"/"&amp;MID(TEXT(D91,"0000-0000"),3,2)&amp;"-"&amp;MID(TEXT(D91,"0000-0000"),8,2)</f>
        <v>006/137/90/20-</v>
      </c>
      <c r="B91" s="24" t="s">
        <v>204</v>
      </c>
      <c r="C91" s="25" t="s">
        <v>31</v>
      </c>
      <c r="D91" s="24" t="s">
        <v>205</v>
      </c>
      <c r="E91" s="10" t="s">
        <v>33</v>
      </c>
      <c r="F91" s="10">
        <v>0</v>
      </c>
      <c r="H91" s="12" t="s">
        <v>35</v>
      </c>
      <c r="L91" s="13" t="s">
        <v>36</v>
      </c>
      <c r="P91" s="13">
        <v>0</v>
      </c>
      <c r="Q91" s="10">
        <v>100</v>
      </c>
      <c r="R91" s="10">
        <v>100</v>
      </c>
      <c r="S91" s="29" t="s">
        <v>206</v>
      </c>
      <c r="V91" s="24" t="s">
        <v>38</v>
      </c>
      <c r="W91" t="s">
        <v>207</v>
      </c>
      <c r="X91">
        <v>9624943</v>
      </c>
      <c r="Z91" s="12" t="s">
        <v>35</v>
      </c>
      <c r="AC91" s="24" t="s">
        <v>38</v>
      </c>
      <c r="AD91" s="7" t="s">
        <v>40</v>
      </c>
    </row>
    <row r="92" ht="14.25">
      <c r="A92" s="7" t="str">
        <f>"006/137/"&amp;TEXT(ROW()-1,"00")&amp;"/"&amp;MID(TEXT(D92,"0000-0000"),3,2)&amp;"-"&amp;MID(TEXT(D92,"0000-0000"),8,2)</f>
        <v>006/137/91/24-25</v>
      </c>
      <c r="B92" s="24" t="s">
        <v>204</v>
      </c>
      <c r="C92" s="25" t="s">
        <v>31</v>
      </c>
      <c r="D92" s="24" t="s">
        <v>54</v>
      </c>
      <c r="E92" s="10" t="s">
        <v>33</v>
      </c>
      <c r="F92" s="10">
        <v>0</v>
      </c>
      <c r="G92" s="38"/>
      <c r="H92" s="12" t="s">
        <v>35</v>
      </c>
      <c r="I92" s="38"/>
      <c r="J92" s="38"/>
      <c r="K92" s="38"/>
      <c r="L92" s="13" t="s">
        <v>36</v>
      </c>
      <c r="M92" s="38"/>
      <c r="N92" s="38"/>
      <c r="O92" s="38"/>
      <c r="P92" s="13">
        <v>0</v>
      </c>
      <c r="Q92" s="10">
        <v>100</v>
      </c>
      <c r="R92" s="10">
        <v>100</v>
      </c>
      <c r="S92" s="29" t="s">
        <v>206</v>
      </c>
      <c r="T92" s="38"/>
      <c r="U92" s="38"/>
      <c r="V92" s="24" t="s">
        <v>38</v>
      </c>
      <c r="W92" s="47" t="s">
        <v>207</v>
      </c>
      <c r="X92" s="47">
        <v>9624943</v>
      </c>
      <c r="Y92" s="38"/>
      <c r="Z92" s="12" t="s">
        <v>35</v>
      </c>
      <c r="AA92" s="38"/>
      <c r="AB92" s="38"/>
      <c r="AC92" s="24" t="s">
        <v>38</v>
      </c>
      <c r="AD92" s="7" t="s">
        <v>40</v>
      </c>
    </row>
    <row r="93" ht="14.25">
      <c r="A93" s="7" t="str">
        <f>"006/137/"&amp;TEXT(ROW()-1,"00")&amp;"/"&amp;MID(TEXT(D93,"0000-0000"),3,2)&amp;"-"&amp;MID(TEXT(D93,"0000-0000"),8,2)</f>
        <v>006/137/92/20-21</v>
      </c>
      <c r="B93" s="24" t="s">
        <v>208</v>
      </c>
      <c r="C93" s="25" t="s">
        <v>31</v>
      </c>
      <c r="D93" s="24" t="s">
        <v>51</v>
      </c>
      <c r="E93" s="10" t="s">
        <v>33</v>
      </c>
      <c r="F93" s="10">
        <v>0</v>
      </c>
      <c r="H93" s="12" t="s">
        <v>35</v>
      </c>
      <c r="L93" s="13" t="s">
        <v>36</v>
      </c>
      <c r="P93" s="13">
        <v>0</v>
      </c>
      <c r="Q93" s="10">
        <v>100</v>
      </c>
      <c r="R93" s="10">
        <v>100</v>
      </c>
      <c r="S93" s="29" t="s">
        <v>209</v>
      </c>
      <c r="V93" s="24" t="s">
        <v>38</v>
      </c>
      <c r="W93" t="s">
        <v>210</v>
      </c>
      <c r="X93">
        <v>9624843</v>
      </c>
      <c r="Z93" s="12" t="s">
        <v>35</v>
      </c>
      <c r="AC93" s="24" t="s">
        <v>38</v>
      </c>
      <c r="AD93" s="7" t="s">
        <v>40</v>
      </c>
    </row>
    <row r="94" ht="14.25">
      <c r="A94" s="7" t="str">
        <f>"006/137/"&amp;TEXT(ROW()-1,"00")&amp;"/"&amp;MID(TEXT(D94,"0000-0000"),3,2)&amp;"-"&amp;MID(TEXT(D94,"0000-0000"),8,2)</f>
        <v>006/137/93/24-25</v>
      </c>
      <c r="B94" s="24" t="s">
        <v>208</v>
      </c>
      <c r="C94" s="25" t="s">
        <v>31</v>
      </c>
      <c r="D94" s="24" t="s">
        <v>54</v>
      </c>
      <c r="E94" s="10" t="s">
        <v>33</v>
      </c>
      <c r="F94" s="10">
        <v>0</v>
      </c>
      <c r="G94" s="38"/>
      <c r="H94" s="12" t="s">
        <v>35</v>
      </c>
      <c r="I94" s="38"/>
      <c r="J94" s="38"/>
      <c r="K94" s="38"/>
      <c r="L94" s="13" t="s">
        <v>36</v>
      </c>
      <c r="M94" s="38"/>
      <c r="N94" s="38"/>
      <c r="O94" s="38"/>
      <c r="P94" s="13">
        <v>0</v>
      </c>
      <c r="Q94" s="10">
        <v>100</v>
      </c>
      <c r="R94" s="10">
        <v>100</v>
      </c>
      <c r="S94" s="29" t="s">
        <v>209</v>
      </c>
      <c r="T94" s="38"/>
      <c r="U94" s="38"/>
      <c r="V94" s="24" t="s">
        <v>38</v>
      </c>
      <c r="W94" s="47" t="s">
        <v>210</v>
      </c>
      <c r="X94" s="47">
        <v>9624843</v>
      </c>
      <c r="Y94" s="38"/>
      <c r="Z94" s="12" t="s">
        <v>35</v>
      </c>
      <c r="AA94" s="38"/>
      <c r="AB94" s="38"/>
      <c r="AC94" s="24" t="s">
        <v>38</v>
      </c>
      <c r="AD94" s="7" t="s">
        <v>40</v>
      </c>
    </row>
    <row r="95" ht="14.25">
      <c r="A95" s="7" t="str">
        <f>"006/137/"&amp;TEXT(ROW()-1,"00")&amp;"/"&amp;MID(TEXT(D95,"0000-0000"),3,2)&amp;"-"&amp;MID(TEXT(D95,"0000-0000"),8,2)</f>
        <v>006/137/94/20-21</v>
      </c>
      <c r="B95" s="24" t="s">
        <v>211</v>
      </c>
      <c r="C95" s="25" t="s">
        <v>31</v>
      </c>
      <c r="D95" s="24" t="s">
        <v>51</v>
      </c>
      <c r="E95" s="10" t="s">
        <v>33</v>
      </c>
      <c r="F95" s="10">
        <v>0</v>
      </c>
      <c r="H95" s="12" t="s">
        <v>35</v>
      </c>
      <c r="L95" s="13" t="s">
        <v>36</v>
      </c>
      <c r="P95" s="13">
        <v>0</v>
      </c>
      <c r="Q95" s="10">
        <v>100</v>
      </c>
      <c r="R95" s="10">
        <v>100</v>
      </c>
      <c r="S95" s="29" t="s">
        <v>212</v>
      </c>
      <c r="V95" s="24" t="s">
        <v>38</v>
      </c>
      <c r="W95" t="s">
        <v>210</v>
      </c>
      <c r="X95">
        <v>9634843</v>
      </c>
      <c r="Z95" s="12" t="s">
        <v>35</v>
      </c>
      <c r="AC95" s="24" t="s">
        <v>38</v>
      </c>
      <c r="AD95" s="7" t="s">
        <v>40</v>
      </c>
    </row>
    <row r="96" ht="14.25">
      <c r="A96" s="7" t="str">
        <f>"006/137/"&amp;TEXT(ROW()-1,"00")&amp;"/"&amp;MID(TEXT(D96,"0000-0000"),3,2)&amp;"-"&amp;MID(TEXT(D96,"0000-0000"),8,2)</f>
        <v>006/137/95/24-25</v>
      </c>
      <c r="B96" s="24" t="s">
        <v>211</v>
      </c>
      <c r="C96" s="25" t="s">
        <v>31</v>
      </c>
      <c r="D96" s="24" t="s">
        <v>54</v>
      </c>
      <c r="E96" s="10" t="s">
        <v>33</v>
      </c>
      <c r="F96" s="10">
        <v>0</v>
      </c>
      <c r="G96" s="38"/>
      <c r="H96" s="12" t="s">
        <v>35</v>
      </c>
      <c r="I96" s="38"/>
      <c r="J96" s="38"/>
      <c r="K96" s="38"/>
      <c r="L96" s="13" t="s">
        <v>36</v>
      </c>
      <c r="M96" s="38"/>
      <c r="N96" s="38"/>
      <c r="O96" s="38"/>
      <c r="P96" s="13">
        <v>0</v>
      </c>
      <c r="Q96" s="10">
        <v>100</v>
      </c>
      <c r="R96" s="10">
        <v>100</v>
      </c>
      <c r="S96" s="29" t="s">
        <v>212</v>
      </c>
      <c r="T96" s="38"/>
      <c r="U96" s="38"/>
      <c r="V96" s="24" t="s">
        <v>38</v>
      </c>
      <c r="W96" s="47" t="s">
        <v>210</v>
      </c>
      <c r="X96" s="47">
        <v>9634843</v>
      </c>
      <c r="Y96" s="38"/>
      <c r="Z96" s="12" t="s">
        <v>35</v>
      </c>
      <c r="AA96" s="38"/>
      <c r="AB96" s="38"/>
      <c r="AC96" s="24" t="s">
        <v>38</v>
      </c>
      <c r="AD96" s="7" t="s">
        <v>40</v>
      </c>
    </row>
    <row r="97" ht="14.25">
      <c r="A97" s="7" t="str">
        <f>"006/137/"&amp;TEXT(ROW()-1,"00")&amp;"/"&amp;MID(TEXT(D97,"0000-0000"),3,2)&amp;"-"&amp;MID(TEXT(D97,"0000-0000"),8,2)</f>
        <v>006/137/96/20-21</v>
      </c>
      <c r="B97" s="24" t="s">
        <v>213</v>
      </c>
      <c r="C97" s="25" t="s">
        <v>31</v>
      </c>
      <c r="D97" s="24" t="s">
        <v>51</v>
      </c>
      <c r="E97" s="10" t="s">
        <v>33</v>
      </c>
      <c r="F97" s="10">
        <v>0</v>
      </c>
      <c r="H97" s="12" t="s">
        <v>35</v>
      </c>
      <c r="L97" s="13" t="s">
        <v>36</v>
      </c>
      <c r="P97" s="13">
        <v>0</v>
      </c>
      <c r="Q97" s="10">
        <v>100</v>
      </c>
      <c r="R97" s="10">
        <v>100</v>
      </c>
      <c r="S97" s="29" t="s">
        <v>214</v>
      </c>
      <c r="V97" s="24" t="s">
        <v>38</v>
      </c>
      <c r="W97" t="s">
        <v>215</v>
      </c>
      <c r="X97">
        <v>9624909</v>
      </c>
      <c r="Z97" s="12" t="s">
        <v>35</v>
      </c>
      <c r="AC97" s="24" t="s">
        <v>38</v>
      </c>
      <c r="AD97" s="7" t="s">
        <v>40</v>
      </c>
    </row>
    <row r="98" ht="14.25">
      <c r="A98" s="7" t="str">
        <f>"006/137/"&amp;TEXT(ROW()-1,"00")&amp;"/"&amp;MID(TEXT(D98,"0000-0000"),3,2)&amp;"-"&amp;MID(TEXT(D98,"0000-0000"),8,2)</f>
        <v>006/137/97/24-25</v>
      </c>
      <c r="B98" s="24" t="s">
        <v>213</v>
      </c>
      <c r="C98" s="25" t="s">
        <v>31</v>
      </c>
      <c r="D98" s="24" t="s">
        <v>54</v>
      </c>
      <c r="E98" s="10" t="s">
        <v>33</v>
      </c>
      <c r="F98" s="10">
        <v>0</v>
      </c>
      <c r="G98" s="38"/>
      <c r="H98" s="12" t="s">
        <v>35</v>
      </c>
      <c r="I98" s="38"/>
      <c r="J98" s="38"/>
      <c r="K98" s="38"/>
      <c r="L98" s="13" t="s">
        <v>36</v>
      </c>
      <c r="M98" s="38"/>
      <c r="N98" s="38"/>
      <c r="O98" s="38"/>
      <c r="P98" s="13">
        <v>0</v>
      </c>
      <c r="Q98" s="10">
        <v>100</v>
      </c>
      <c r="R98" s="10">
        <v>100</v>
      </c>
      <c r="S98" s="29" t="s">
        <v>214</v>
      </c>
      <c r="T98" s="38"/>
      <c r="U98" s="38"/>
      <c r="V98" s="24" t="s">
        <v>38</v>
      </c>
      <c r="W98" s="47" t="s">
        <v>215</v>
      </c>
      <c r="X98" s="47">
        <v>9624909</v>
      </c>
      <c r="Y98" s="38"/>
      <c r="Z98" s="12" t="s">
        <v>35</v>
      </c>
      <c r="AA98" s="38"/>
      <c r="AB98" s="38"/>
      <c r="AC98" s="24" t="s">
        <v>38</v>
      </c>
      <c r="AD98" s="7" t="s">
        <v>40</v>
      </c>
    </row>
    <row r="99" ht="14.25">
      <c r="A99" s="7" t="str">
        <f>"006/137/"&amp;TEXT(ROW()-1,"00")&amp;"/"&amp;MID(TEXT(D99,"0000-0000"),3,2)&amp;"-"&amp;MID(TEXT(D99,"0000-0000"),8,2)</f>
        <v>006/137/98/20-21</v>
      </c>
      <c r="B99" s="24" t="s">
        <v>216</v>
      </c>
      <c r="C99" s="25" t="s">
        <v>31</v>
      </c>
      <c r="D99" s="24" t="s">
        <v>51</v>
      </c>
      <c r="E99" s="10" t="s">
        <v>33</v>
      </c>
      <c r="F99" s="10">
        <v>0</v>
      </c>
      <c r="H99" s="12" t="s">
        <v>35</v>
      </c>
      <c r="L99" s="13" t="s">
        <v>36</v>
      </c>
      <c r="P99" s="13">
        <v>0</v>
      </c>
      <c r="Q99" s="10">
        <v>100</v>
      </c>
      <c r="R99" s="10">
        <v>100</v>
      </c>
      <c r="S99" s="29" t="s">
        <v>217</v>
      </c>
      <c r="V99" s="24" t="s">
        <v>38</v>
      </c>
      <c r="W99" t="s">
        <v>218</v>
      </c>
      <c r="X99">
        <v>9624853</v>
      </c>
      <c r="Z99" s="12" t="s">
        <v>35</v>
      </c>
      <c r="AC99" s="24" t="s">
        <v>38</v>
      </c>
      <c r="AD99" s="7" t="s">
        <v>40</v>
      </c>
    </row>
    <row r="100" ht="14.25">
      <c r="A100" s="7" t="str">
        <f>"006/137/"&amp;TEXT(ROW()-1,"00")&amp;"/"&amp;MID(TEXT(D100,"0000-0000"),3,2)&amp;"-"&amp;MID(TEXT(D100,"0000-0000"),8,2)</f>
        <v>006/137/99/24-25</v>
      </c>
      <c r="B100" s="24" t="s">
        <v>216</v>
      </c>
      <c r="C100" s="25" t="s">
        <v>31</v>
      </c>
      <c r="D100" s="24" t="s">
        <v>54</v>
      </c>
      <c r="E100" s="10" t="s">
        <v>33</v>
      </c>
      <c r="F100" s="10">
        <v>0</v>
      </c>
      <c r="G100" s="38"/>
      <c r="H100" s="12" t="s">
        <v>35</v>
      </c>
      <c r="I100" s="38"/>
      <c r="J100" s="38"/>
      <c r="K100" s="38"/>
      <c r="L100" s="13" t="s">
        <v>36</v>
      </c>
      <c r="M100" s="38"/>
      <c r="N100" s="38"/>
      <c r="O100" s="38"/>
      <c r="P100" s="13">
        <v>0</v>
      </c>
      <c r="Q100" s="10">
        <v>100</v>
      </c>
      <c r="R100" s="10">
        <v>100</v>
      </c>
      <c r="S100" s="29" t="s">
        <v>217</v>
      </c>
      <c r="T100" s="38"/>
      <c r="U100" s="38"/>
      <c r="V100" s="24" t="s">
        <v>38</v>
      </c>
      <c r="W100" s="47" t="s">
        <v>218</v>
      </c>
      <c r="X100" s="47">
        <v>9624853</v>
      </c>
      <c r="Y100" s="38"/>
      <c r="Z100" s="12" t="s">
        <v>35</v>
      </c>
      <c r="AA100" s="38"/>
      <c r="AB100" s="38"/>
      <c r="AC100" s="24" t="s">
        <v>38</v>
      </c>
      <c r="AD100" s="7" t="s">
        <v>40</v>
      </c>
    </row>
    <row r="101" ht="14.25">
      <c r="A101" s="7" t="str">
        <f>"006/137/"&amp;TEXT(ROW()-1,"00")&amp;"/"&amp;MID(TEXT(D101,"0000-0000"),3,2)&amp;"-"&amp;MID(TEXT(D101,"0000-0000"),8,2)</f>
        <v>006/137/100/20-21</v>
      </c>
      <c r="B101" s="24" t="s">
        <v>219</v>
      </c>
      <c r="C101" s="25" t="s">
        <v>31</v>
      </c>
      <c r="D101" s="24" t="s">
        <v>51</v>
      </c>
      <c r="E101" s="10" t="s">
        <v>33</v>
      </c>
      <c r="F101" s="10">
        <v>0</v>
      </c>
      <c r="H101" s="12" t="s">
        <v>35</v>
      </c>
      <c r="L101" s="13" t="s">
        <v>36</v>
      </c>
      <c r="P101" s="13">
        <v>0</v>
      </c>
      <c r="Q101" s="10">
        <v>100</v>
      </c>
      <c r="R101" s="10">
        <v>100</v>
      </c>
      <c r="S101" s="29" t="s">
        <v>220</v>
      </c>
      <c r="V101" s="24" t="s">
        <v>38</v>
      </c>
      <c r="W101" t="s">
        <v>218</v>
      </c>
      <c r="X101">
        <v>9624853</v>
      </c>
      <c r="Z101" s="12" t="s">
        <v>35</v>
      </c>
      <c r="AC101" s="24" t="s">
        <v>38</v>
      </c>
      <c r="AD101" s="7" t="s">
        <v>40</v>
      </c>
    </row>
    <row r="102" ht="14.25">
      <c r="A102" s="7" t="str">
        <f>"006/137/"&amp;TEXT(ROW()-1,"00")&amp;"/"&amp;MID(TEXT(D102,"0000-0000"),3,2)&amp;"-"&amp;MID(TEXT(D102,"0000-0000"),8,2)</f>
        <v>006/137/101/24-25</v>
      </c>
      <c r="B102" s="24" t="s">
        <v>219</v>
      </c>
      <c r="C102" s="25" t="s">
        <v>31</v>
      </c>
      <c r="D102" s="24" t="s">
        <v>54</v>
      </c>
      <c r="E102" s="10" t="s">
        <v>33</v>
      </c>
      <c r="F102" s="10">
        <v>0</v>
      </c>
      <c r="G102" s="38"/>
      <c r="H102" s="12" t="s">
        <v>35</v>
      </c>
      <c r="I102" s="38"/>
      <c r="J102" s="38"/>
      <c r="K102" s="38"/>
      <c r="L102" s="13" t="s">
        <v>36</v>
      </c>
      <c r="M102" s="38"/>
      <c r="N102" s="38"/>
      <c r="O102" s="38"/>
      <c r="P102" s="13">
        <v>0</v>
      </c>
      <c r="Q102" s="10">
        <v>100</v>
      </c>
      <c r="R102" s="10">
        <v>100</v>
      </c>
      <c r="S102" s="29" t="s">
        <v>220</v>
      </c>
      <c r="T102" s="38"/>
      <c r="U102" s="38"/>
      <c r="V102" s="24" t="s">
        <v>38</v>
      </c>
      <c r="W102" s="47" t="s">
        <v>218</v>
      </c>
      <c r="X102" s="47">
        <v>9624853</v>
      </c>
      <c r="Y102" s="38"/>
      <c r="Z102" s="12" t="s">
        <v>35</v>
      </c>
      <c r="AA102" s="38"/>
      <c r="AB102" s="38"/>
      <c r="AC102" s="24" t="s">
        <v>38</v>
      </c>
      <c r="AD102" s="7" t="s">
        <v>40</v>
      </c>
    </row>
    <row r="103" ht="14.25">
      <c r="A103" s="7" t="str">
        <f>"006/137/"&amp;TEXT(ROW()-1,"00")&amp;"/"&amp;MID(TEXT(D103,"0000-0000"),3,2)&amp;"-"&amp;MID(TEXT(D103,"0000-0000"),8,2)</f>
        <v>006/137/102/20-21</v>
      </c>
      <c r="B103" s="24" t="s">
        <v>221</v>
      </c>
      <c r="C103" s="25" t="s">
        <v>31</v>
      </c>
      <c r="D103" s="24" t="s">
        <v>51</v>
      </c>
      <c r="E103" s="10" t="s">
        <v>33</v>
      </c>
      <c r="F103" s="10">
        <v>0</v>
      </c>
      <c r="H103" s="12" t="s">
        <v>35</v>
      </c>
      <c r="L103" s="13" t="s">
        <v>36</v>
      </c>
      <c r="P103" s="13">
        <v>0</v>
      </c>
      <c r="Q103" s="10">
        <v>100</v>
      </c>
      <c r="R103" s="10">
        <v>100</v>
      </c>
      <c r="S103" s="29" t="s">
        <v>222</v>
      </c>
      <c r="V103" s="24" t="s">
        <v>38</v>
      </c>
      <c r="W103" t="s">
        <v>223</v>
      </c>
      <c r="X103">
        <v>9624751</v>
      </c>
      <c r="Z103" s="12" t="s">
        <v>35</v>
      </c>
      <c r="AC103" s="24" t="s">
        <v>38</v>
      </c>
      <c r="AD103" s="7" t="s">
        <v>40</v>
      </c>
    </row>
    <row r="104" ht="14.25">
      <c r="A104" s="7" t="str">
        <f>"006/137/"&amp;TEXT(ROW()-1,"00")&amp;"/"&amp;MID(TEXT(D104,"0000-0000"),3,2)&amp;"-"&amp;MID(TEXT(D104,"0000-0000"),8,2)</f>
        <v>006/137/103/24-25</v>
      </c>
      <c r="B104" s="24" t="s">
        <v>221</v>
      </c>
      <c r="C104" s="25" t="s">
        <v>31</v>
      </c>
      <c r="D104" s="24" t="s">
        <v>54</v>
      </c>
      <c r="E104" s="10" t="s">
        <v>33</v>
      </c>
      <c r="F104" s="10">
        <v>0</v>
      </c>
      <c r="G104" s="38"/>
      <c r="H104" s="12" t="s">
        <v>35</v>
      </c>
      <c r="I104" s="38"/>
      <c r="J104" s="38"/>
      <c r="K104" s="38"/>
      <c r="L104" s="13" t="s">
        <v>36</v>
      </c>
      <c r="M104" s="38"/>
      <c r="N104" s="38"/>
      <c r="O104" s="38"/>
      <c r="P104" s="13">
        <v>0</v>
      </c>
      <c r="Q104" s="10">
        <v>100</v>
      </c>
      <c r="R104" s="10">
        <v>100</v>
      </c>
      <c r="S104" s="29" t="s">
        <v>222</v>
      </c>
      <c r="T104" s="38"/>
      <c r="U104" s="38"/>
      <c r="V104" s="24" t="s">
        <v>38</v>
      </c>
      <c r="W104" s="47" t="s">
        <v>223</v>
      </c>
      <c r="X104" s="47">
        <v>9624751</v>
      </c>
      <c r="Y104" s="38"/>
      <c r="Z104" s="12" t="s">
        <v>35</v>
      </c>
      <c r="AA104" s="38"/>
      <c r="AB104" s="38"/>
      <c r="AC104" s="24" t="s">
        <v>38</v>
      </c>
      <c r="AD104" s="7" t="s">
        <v>40</v>
      </c>
    </row>
    <row r="105" ht="14.25">
      <c r="A105" s="7" t="str">
        <f>"006/137/"&amp;TEXT(ROW()-1,"00")&amp;"/"&amp;MID(TEXT(D105,"0000-0000"),3,2)&amp;"-"&amp;MID(TEXT(D105,"0000-0000"),8,2)</f>
        <v>006/137/104/20-21</v>
      </c>
      <c r="B105" s="24" t="s">
        <v>224</v>
      </c>
      <c r="C105" s="25" t="s">
        <v>31</v>
      </c>
      <c r="D105" s="24" t="s">
        <v>51</v>
      </c>
      <c r="E105" s="10" t="s">
        <v>33</v>
      </c>
      <c r="F105" s="10">
        <v>0</v>
      </c>
      <c r="H105" s="12" t="s">
        <v>35</v>
      </c>
      <c r="L105" s="13" t="s">
        <v>36</v>
      </c>
      <c r="P105" s="13">
        <v>0</v>
      </c>
      <c r="Q105" s="10">
        <v>100</v>
      </c>
      <c r="R105" s="10">
        <v>100</v>
      </c>
      <c r="S105" s="29" t="s">
        <v>225</v>
      </c>
      <c r="V105" s="24" t="s">
        <v>38</v>
      </c>
      <c r="W105" t="s">
        <v>223</v>
      </c>
      <c r="X105">
        <v>9624751</v>
      </c>
      <c r="Z105" s="12" t="s">
        <v>35</v>
      </c>
      <c r="AC105" s="24" t="s">
        <v>38</v>
      </c>
      <c r="AD105" s="7" t="s">
        <v>40</v>
      </c>
    </row>
    <row r="106" ht="14.25">
      <c r="A106" s="7" t="str">
        <f>"006/137/"&amp;TEXT(ROW()-1,"00")&amp;"/"&amp;MID(TEXT(D106,"0000-0000"),3,2)&amp;"-"&amp;MID(TEXT(D106,"0000-0000"),8,2)</f>
        <v>006/137/105/24-25</v>
      </c>
      <c r="B106" s="24" t="s">
        <v>224</v>
      </c>
      <c r="C106" s="25" t="s">
        <v>31</v>
      </c>
      <c r="D106" s="24" t="s">
        <v>54</v>
      </c>
      <c r="E106" s="10" t="s">
        <v>33</v>
      </c>
      <c r="F106" s="10">
        <v>0</v>
      </c>
      <c r="G106" s="38"/>
      <c r="H106" s="12" t="s">
        <v>35</v>
      </c>
      <c r="I106" s="38"/>
      <c r="J106" s="38"/>
      <c r="K106" s="38"/>
      <c r="L106" s="13" t="s">
        <v>36</v>
      </c>
      <c r="M106" s="38"/>
      <c r="N106" s="38"/>
      <c r="O106" s="38"/>
      <c r="P106" s="13">
        <v>0</v>
      </c>
      <c r="Q106" s="10">
        <v>100</v>
      </c>
      <c r="R106" s="10">
        <v>100</v>
      </c>
      <c r="S106" s="29" t="s">
        <v>225</v>
      </c>
      <c r="T106" s="38"/>
      <c r="U106" s="38"/>
      <c r="V106" s="24" t="s">
        <v>38</v>
      </c>
      <c r="W106" s="47" t="s">
        <v>223</v>
      </c>
      <c r="X106" s="47">
        <v>9624751</v>
      </c>
      <c r="Y106" s="38"/>
      <c r="Z106" s="12" t="s">
        <v>35</v>
      </c>
      <c r="AA106" s="38"/>
      <c r="AB106" s="38"/>
      <c r="AC106" s="24" t="s">
        <v>38</v>
      </c>
      <c r="AD106" s="7" t="s">
        <v>40</v>
      </c>
    </row>
    <row r="107" ht="14.25">
      <c r="A107" s="7" t="str">
        <f>"006/137/"&amp;TEXT(ROW()-1,"00")&amp;"/"&amp;MID(TEXT(D107,"0000-0000"),3,2)&amp;"-"&amp;MID(TEXT(D107,"0000-0000"),8,2)</f>
        <v>006/137/106/20-21</v>
      </c>
      <c r="B107" s="24" t="s">
        <v>226</v>
      </c>
      <c r="C107" s="25" t="s">
        <v>31</v>
      </c>
      <c r="D107" s="24" t="s">
        <v>51</v>
      </c>
      <c r="E107" s="10" t="s">
        <v>33</v>
      </c>
      <c r="F107" s="10">
        <v>0</v>
      </c>
      <c r="H107" s="12" t="s">
        <v>35</v>
      </c>
      <c r="L107" s="13" t="s">
        <v>36</v>
      </c>
      <c r="P107" s="13">
        <v>0</v>
      </c>
      <c r="Q107" s="10">
        <v>100</v>
      </c>
      <c r="R107" s="10">
        <v>100</v>
      </c>
      <c r="S107" s="29" t="s">
        <v>227</v>
      </c>
      <c r="V107" s="24" t="s">
        <v>38</v>
      </c>
      <c r="W107" t="s">
        <v>223</v>
      </c>
      <c r="X107">
        <v>9624751</v>
      </c>
      <c r="Z107" s="12" t="s">
        <v>35</v>
      </c>
      <c r="AC107" s="24" t="s">
        <v>38</v>
      </c>
      <c r="AD107" s="7" t="s">
        <v>40</v>
      </c>
    </row>
    <row r="108" ht="14.25">
      <c r="A108" s="7" t="str">
        <f>"006/137/"&amp;TEXT(ROW()-1,"00")&amp;"/"&amp;MID(TEXT(D108,"0000-0000"),3,2)&amp;"-"&amp;MID(TEXT(D108,"0000-0000"),8,2)</f>
        <v>006/137/107/24-25</v>
      </c>
      <c r="B108" s="24" t="s">
        <v>226</v>
      </c>
      <c r="C108" s="25" t="s">
        <v>31</v>
      </c>
      <c r="D108" s="24" t="s">
        <v>54</v>
      </c>
      <c r="E108" s="10" t="s">
        <v>33</v>
      </c>
      <c r="F108" s="10">
        <v>0</v>
      </c>
      <c r="G108" s="38"/>
      <c r="H108" s="12" t="s">
        <v>35</v>
      </c>
      <c r="I108" s="38"/>
      <c r="J108" s="38"/>
      <c r="K108" s="38"/>
      <c r="L108" s="13" t="s">
        <v>36</v>
      </c>
      <c r="M108" s="38"/>
      <c r="N108" s="38"/>
      <c r="O108" s="38"/>
      <c r="P108" s="13">
        <v>0</v>
      </c>
      <c r="Q108" s="10">
        <v>100</v>
      </c>
      <c r="R108" s="10">
        <v>100</v>
      </c>
      <c r="S108" s="29" t="s">
        <v>227</v>
      </c>
      <c r="T108" s="38"/>
      <c r="U108" s="38"/>
      <c r="V108" s="24" t="s">
        <v>38</v>
      </c>
      <c r="W108" s="47" t="s">
        <v>223</v>
      </c>
      <c r="X108" s="47">
        <v>9624751</v>
      </c>
      <c r="Y108" s="38"/>
      <c r="Z108" s="12" t="s">
        <v>35</v>
      </c>
      <c r="AA108" s="38"/>
      <c r="AB108" s="38"/>
      <c r="AC108" s="24" t="s">
        <v>38</v>
      </c>
      <c r="AD108" s="7" t="s">
        <v>40</v>
      </c>
    </row>
    <row r="109" ht="14.25">
      <c r="A109" s="7" t="str">
        <f>"006/137/"&amp;TEXT(ROW()-1,"00")&amp;"/"&amp;MID(TEXT(D109,"0000-0000"),3,2)&amp;"-"&amp;MID(TEXT(D109,"0000-0000"),8,2)</f>
        <v>006/137/108/20-21</v>
      </c>
      <c r="B109" s="24" t="s">
        <v>228</v>
      </c>
      <c r="C109" s="25" t="s">
        <v>31</v>
      </c>
      <c r="D109" s="24" t="s">
        <v>51</v>
      </c>
      <c r="E109" s="10" t="s">
        <v>33</v>
      </c>
      <c r="F109" s="10">
        <v>0</v>
      </c>
      <c r="G109" s="48"/>
      <c r="H109" s="12" t="s">
        <v>35</v>
      </c>
      <c r="I109" s="48"/>
      <c r="J109" s="48"/>
      <c r="K109" s="48"/>
      <c r="L109" s="13" t="s">
        <v>36</v>
      </c>
      <c r="M109" s="48"/>
      <c r="N109" s="48"/>
      <c r="O109" s="48"/>
      <c r="P109" s="13">
        <v>0</v>
      </c>
      <c r="Q109" s="10">
        <v>100</v>
      </c>
      <c r="R109" s="10">
        <v>100</v>
      </c>
      <c r="S109" s="29" t="s">
        <v>229</v>
      </c>
      <c r="T109" s="48"/>
      <c r="U109" s="48"/>
      <c r="V109" s="24" t="s">
        <v>38</v>
      </c>
      <c r="W109" s="47" t="s">
        <v>223</v>
      </c>
      <c r="X109" s="47">
        <v>9624751</v>
      </c>
      <c r="Y109" s="48"/>
      <c r="Z109" s="12" t="s">
        <v>35</v>
      </c>
      <c r="AA109" s="48"/>
      <c r="AB109" s="48"/>
      <c r="AC109" s="24" t="s">
        <v>38</v>
      </c>
      <c r="AD109" s="7" t="s">
        <v>40</v>
      </c>
    </row>
    <row r="110" ht="14.25">
      <c r="A110" s="7" t="str">
        <f>"006/137/"&amp;TEXT(ROW()-1,"00")&amp;"/"&amp;MID(TEXT(D110,"0000-0000"),3,2)&amp;"-"&amp;MID(TEXT(D110,"0000-0000"),8,2)</f>
        <v>006/137/109/24-25</v>
      </c>
      <c r="B110" s="24" t="s">
        <v>228</v>
      </c>
      <c r="C110" s="25" t="s">
        <v>31</v>
      </c>
      <c r="D110" s="24" t="s">
        <v>54</v>
      </c>
      <c r="E110" s="10" t="s">
        <v>33</v>
      </c>
      <c r="F110" s="10">
        <v>0</v>
      </c>
      <c r="H110" s="12" t="s">
        <v>35</v>
      </c>
      <c r="L110" s="13" t="s">
        <v>36</v>
      </c>
      <c r="P110" s="13">
        <v>0</v>
      </c>
      <c r="Q110" s="10">
        <v>100</v>
      </c>
      <c r="R110" s="10">
        <v>100</v>
      </c>
      <c r="S110" s="29" t="s">
        <v>229</v>
      </c>
      <c r="V110" s="24" t="s">
        <v>38</v>
      </c>
      <c r="W110" t="s">
        <v>223</v>
      </c>
      <c r="X110">
        <v>9624751</v>
      </c>
      <c r="Z110" s="12" t="s">
        <v>35</v>
      </c>
      <c r="AC110" s="24" t="s">
        <v>38</v>
      </c>
      <c r="AD110" s="7" t="s">
        <v>40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2026-04-01T12:49:11Z</dcterms:modified>
</cp:coreProperties>
</file>